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e-qual Worksheet" sheetId="2" state="visible" r:id="rId4"/>
    <sheet name="P&amp;I Chart" sheetId="3" state="visible" r:id="rId5"/>
    <sheet name="Residual Cha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<sst xmlns="http://schemas.openxmlformats.org/spreadsheetml/2006/main" count="156" uniqueCount="132">
  <si>
    <t xml:space="preserve">This pre-qualification worksheet will automatically calculate monthly housing expense,</t>
  </si>
  <si>
    <t xml:space="preserve">residual income and debt-to-income ratio. To access the worksheet, click on the</t>
  </si>
  <si>
    <t xml:space="preserve">"Pre-qual Worksheet" tab below. Simply enter the requested information into the</t>
  </si>
  <si>
    <t xml:space="preserve">grey-shaded areas.</t>
  </si>
  <si>
    <t xml:space="preserve">Some helpful tips:</t>
  </si>
  <si>
    <t xml:space="preserve">1. Use the arrow keys on your keyboard to navigate through the input areas.</t>
  </si>
  <si>
    <t xml:space="preserve">2. Item 2a asks for the "Payment Factor". Click on the "P&amp;I Chart" tab below to</t>
  </si>
  <si>
    <t xml:space="preserve">   obtain this number. The payment factor is based upon the interest rate and the</t>
  </si>
  <si>
    <t xml:space="preserve">   term of the loan.</t>
  </si>
  <si>
    <t xml:space="preserve">3. Item 6a asks for the amount of residual income required. Click on the "Residual</t>
  </si>
  <si>
    <t xml:space="preserve">   Chart" tab below to view the chart. Residual income guidelines are determined by</t>
  </si>
  <si>
    <t xml:space="preserve">   geographic location, family size and mortgage amount.</t>
  </si>
  <si>
    <t xml:space="preserve">4. Only input information into the grey areas! Information input into other areas</t>
  </si>
  <si>
    <t xml:space="preserve">   could possibly delete formulas required to calculate housing expenses, etc.</t>
  </si>
  <si>
    <t xml:space="preserve">VA Loans - Pre-screening Tips</t>
  </si>
  <si>
    <t xml:space="preserve">The anticipated success of a VA loan applicant can be anticipated adequately by two</t>
  </si>
  <si>
    <t xml:space="preserve">considerations: Balance - If the debt-to-income analysis indicates that one guideline</t>
  </si>
  <si>
    <t xml:space="preserve">is not met, it may still be counterbalanced by a positive shortcoming.</t>
  </si>
  <si>
    <t xml:space="preserve">Credit - A veteran must have a satisfactory (preferably 2 years) paid-as-agreed</t>
  </si>
  <si>
    <t xml:space="preserve">credit history or satisfactory explanation following a Chapter 7 bankruptcy with</t>
  </si>
  <si>
    <t xml:space="preserve">Trustee or Bankruptcy Judge approval.</t>
  </si>
  <si>
    <t xml:space="preserve">Employment Stability - Evidence of stability with current employer of less than</t>
  </si>
  <si>
    <t xml:space="preserve">2 years, verify prior employment totaling 2 years. For self-employed to be</t>
  </si>
  <si>
    <t xml:space="preserve">considered stable, must have been in business at least 2 years.</t>
  </si>
  <si>
    <t xml:space="preserve">***Enter requested information in gray areas. Totals/formulas will automatically be calculated.***</t>
  </si>
  <si>
    <t xml:space="preserve">NAME:</t>
  </si>
  <si>
    <t xml:space="preserve">FAMILY SIZE:</t>
  </si>
  <si>
    <t xml:space="preserve">MORTGAGE AMOUNT:</t>
  </si>
  <si>
    <t xml:space="preserve">1. Gross Monthly Income</t>
  </si>
  <si>
    <t xml:space="preserve">(1)</t>
  </si>
  <si>
    <t xml:space="preserve">2. Monthly Housing Expense (PITI)</t>
  </si>
  <si>
    <t xml:space="preserve">     Interest %</t>
  </si>
  <si>
    <t xml:space="preserve">  a. Payment Factor (From P&amp;I Chart)</t>
  </si>
  <si>
    <t xml:space="preserve">  b. Principal and Interest Payment</t>
  </si>
  <si>
    <t xml:space="preserve">  c. Property Taxes</t>
  </si>
  <si>
    <t xml:space="preserve">  d. Homeowners Insurance</t>
  </si>
  <si>
    <t xml:space="preserve">  e. HOA Dues</t>
  </si>
  <si>
    <t xml:space="preserve">(2)</t>
  </si>
  <si>
    <t xml:space="preserve">Total</t>
  </si>
  <si>
    <t xml:space="preserve">3. Monthly Debts and Obligations</t>
  </si>
  <si>
    <t xml:space="preserve">  a. Car(s)</t>
  </si>
  <si>
    <t xml:space="preserve">  b. Revolving Charge Accounts</t>
  </si>
  <si>
    <t xml:space="preserve">  c. Installment Loans</t>
  </si>
  <si>
    <t xml:space="preserve">  d. Child Care Expenses</t>
  </si>
  <si>
    <t xml:space="preserve">  e. Other</t>
  </si>
  <si>
    <t xml:space="preserve">(3)</t>
  </si>
  <si>
    <t xml:space="preserve">4. Monthly Maintenance &amp; Utilities</t>
  </si>
  <si>
    <t xml:space="preserve">  a. Total Square Footage</t>
  </si>
  <si>
    <t xml:space="preserve">  b. Square Footage X 14 cents per sq. ft.</t>
  </si>
  <si>
    <t xml:space="preserve">(4)</t>
  </si>
  <si>
    <t xml:space="preserve">5. Monthly Taxes</t>
  </si>
  <si>
    <t xml:space="preserve">  a. Federal Income Tax (from pay stubs)</t>
  </si>
  <si>
    <t xml:space="preserve">  b. State Income Tax (from pay stubs)</t>
  </si>
  <si>
    <t xml:space="preserve">  c. Social Security (salaried or SE'd)</t>
  </si>
  <si>
    <t xml:space="preserve">(5)</t>
  </si>
  <si>
    <t xml:space="preserve">6. Residual Income</t>
  </si>
  <si>
    <t xml:space="preserve">  a. Amount Required (Per Residual Chart)</t>
  </si>
  <si>
    <t xml:space="preserve">  b. Actual (1) minus (2), (3), (4) &amp; (5)</t>
  </si>
  <si>
    <t xml:space="preserve">7. Debt-to-Income Ratio (VA guideline 41%)</t>
  </si>
  <si>
    <t xml:space="preserve">     (2) + (3) divided by (1)</t>
  </si>
  <si>
    <t xml:space="preserve">MONTHLY PRINCIPAL AND INTEREST PAYMENT FACTORS</t>
  </si>
  <si>
    <t xml:space="preserve">(Per $1,000)</t>
  </si>
  <si>
    <t xml:space="preserve">Interest</t>
  </si>
  <si>
    <t xml:space="preserve">15-Year</t>
  </si>
  <si>
    <t xml:space="preserve">20-Year</t>
  </si>
  <si>
    <t xml:space="preserve">30-Year</t>
  </si>
  <si>
    <t xml:space="preserve">Rate</t>
  </si>
  <si>
    <t xml:space="preserve">Term</t>
  </si>
  <si>
    <t xml:space="preserve">Table of Residual Incomes by Region</t>
  </si>
  <si>
    <t xml:space="preserve">Key to Geographic Regions Used in the Preceding Tables</t>
  </si>
  <si>
    <t xml:space="preserve">For loan amounts of $79,999 and below</t>
  </si>
  <si>
    <t xml:space="preserve">Northeast</t>
  </si>
  <si>
    <t xml:space="preserve">Connecticut</t>
  </si>
  <si>
    <t xml:space="preserve">New Hampshire</t>
  </si>
  <si>
    <t xml:space="preserve">Pennsylvania</t>
  </si>
  <si>
    <t xml:space="preserve">Family Size</t>
  </si>
  <si>
    <t xml:space="preserve">Midwest</t>
  </si>
  <si>
    <t xml:space="preserve">South</t>
  </si>
  <si>
    <t xml:space="preserve">West</t>
  </si>
  <si>
    <t xml:space="preserve">Maine</t>
  </si>
  <si>
    <t xml:space="preserve">New Jersey</t>
  </si>
  <si>
    <t xml:space="preserve">Rhode Island</t>
  </si>
  <si>
    <t xml:space="preserve">Massachusetts</t>
  </si>
  <si>
    <t xml:space="preserve">New York</t>
  </si>
  <si>
    <t xml:space="preserve">Vermont</t>
  </si>
  <si>
    <t xml:space="preserve">Illinois</t>
  </si>
  <si>
    <t xml:space="preserve">Michigan</t>
  </si>
  <si>
    <t xml:space="preserve">North Dakota</t>
  </si>
  <si>
    <t xml:space="preserve">Indiana</t>
  </si>
  <si>
    <t xml:space="preserve">Minnesota</t>
  </si>
  <si>
    <t xml:space="preserve">Ohio</t>
  </si>
  <si>
    <t xml:space="preserve">Iowa</t>
  </si>
  <si>
    <t xml:space="preserve">Missouri</t>
  </si>
  <si>
    <t xml:space="preserve">South Dakota</t>
  </si>
  <si>
    <t xml:space="preserve">Kansas</t>
  </si>
  <si>
    <t xml:space="preserve">Nebraska</t>
  </si>
  <si>
    <t xml:space="preserve">Wisconsin</t>
  </si>
  <si>
    <t xml:space="preserve">over 5</t>
  </si>
  <si>
    <t xml:space="preserve">Add $75 for each additional member up to a family of 7.</t>
  </si>
  <si>
    <t xml:space="preserve">Alabama</t>
  </si>
  <si>
    <t xml:space="preserve">Kentucky</t>
  </si>
  <si>
    <t xml:space="preserve">Puerto Rico</t>
  </si>
  <si>
    <t xml:space="preserve">Arkansas</t>
  </si>
  <si>
    <t xml:space="preserve">Louisiana</t>
  </si>
  <si>
    <t xml:space="preserve">South Carolina</t>
  </si>
  <si>
    <t xml:space="preserve">Delaware</t>
  </si>
  <si>
    <t xml:space="preserve">Maryland</t>
  </si>
  <si>
    <t xml:space="preserve">Tennessee</t>
  </si>
  <si>
    <t xml:space="preserve">For loan amounts of $80,000 and above</t>
  </si>
  <si>
    <t xml:space="preserve">District of Columbia</t>
  </si>
  <si>
    <t xml:space="preserve">Mississippi</t>
  </si>
  <si>
    <t xml:space="preserve">Texas</t>
  </si>
  <si>
    <t xml:space="preserve">Florida</t>
  </si>
  <si>
    <t xml:space="preserve">North Carolina</t>
  </si>
  <si>
    <t xml:space="preserve">Virginia</t>
  </si>
  <si>
    <t xml:space="preserve">Georgia</t>
  </si>
  <si>
    <t xml:space="preserve">Oklahoma</t>
  </si>
  <si>
    <t xml:space="preserve">West Virginia</t>
  </si>
  <si>
    <t xml:space="preserve">Alaska</t>
  </si>
  <si>
    <t xml:space="preserve">Hawaii</t>
  </si>
  <si>
    <t xml:space="preserve">New Mexico</t>
  </si>
  <si>
    <t xml:space="preserve">Arizona</t>
  </si>
  <si>
    <t xml:space="preserve">Idaho</t>
  </si>
  <si>
    <t xml:space="preserve">Oregon</t>
  </si>
  <si>
    <t xml:space="preserve">California</t>
  </si>
  <si>
    <t xml:space="preserve">Montana</t>
  </si>
  <si>
    <t xml:space="preserve">Utah</t>
  </si>
  <si>
    <t xml:space="preserve">Colorado</t>
  </si>
  <si>
    <t xml:space="preserve">Nevada</t>
  </si>
  <si>
    <t xml:space="preserve">Washington</t>
  </si>
  <si>
    <t xml:space="preserve">Add $80 for each additional member up to a family of 7.</t>
  </si>
  <si>
    <t xml:space="preserve">Wyoming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</si>
</sst>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0" t="s">
        <v>4</v>
      </c>
    </row>
    <row r="8" customFormat="false" ht="15" hidden="false" customHeight="false" outlineLevel="0" collapsed="false">
      <c r="A8" s="0" t="s">
        <v>5</v>
      </c>
    </row>
    <row r="10" customFormat="false" ht="15" hidden="false" customHeight="false" outlineLevel="0" collapsed="false">
      <c r="A10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8" customFormat="false" ht="15" hidden="false" customHeight="false" outlineLevel="0" collapsed="false">
      <c r="A18" s="0" t="s">
        <v>12</v>
      </c>
    </row>
    <row r="19" customFormat="false" ht="15" hidden="false" customHeight="false" outlineLevel="0" collapsed="false">
      <c r="A19" s="0" t="s">
        <v>13</v>
      </c>
    </row>
    <row r="22" customFormat="false" ht="15" hidden="false" customHeight="false" outlineLevel="0" collapsed="false">
      <c r="A22" s="0" t="s">
        <v>14</v>
      </c>
    </row>
    <row r="24" customFormat="false" ht="15" hidden="false" customHeight="false" outlineLevel="0" collapsed="false">
      <c r="A24" s="0" t="s">
        <v>15</v>
      </c>
    </row>
    <row r="25" customFormat="false" ht="15" hidden="false" customHeight="false" outlineLevel="0" collapsed="false">
      <c r="A25" s="0" t="s">
        <v>16</v>
      </c>
    </row>
    <row r="26" customFormat="false" ht="15" hidden="false" customHeight="false" outlineLevel="0" collapsed="false">
      <c r="A26" s="0" t="s">
        <v>17</v>
      </c>
    </row>
    <row r="28" customFormat="false" ht="15" hidden="false" customHeight="false" outlineLevel="0" collapsed="false">
      <c r="A28" s="0" t="s">
        <v>18</v>
      </c>
    </row>
    <row r="29" customFormat="false" ht="15" hidden="false" customHeight="false" outlineLevel="0" collapsed="false">
      <c r="A29" s="0" t="s">
        <v>19</v>
      </c>
    </row>
    <row r="30" customFormat="false" ht="15" hidden="false" customHeight="false" outlineLevel="0" collapsed="false">
      <c r="A30" s="0" t="s">
        <v>20</v>
      </c>
    </row>
    <row r="32" customFormat="false" ht="15" hidden="false" customHeight="false" outlineLevel="0" collapsed="false">
      <c r="A32" s="0" t="s">
        <v>21</v>
      </c>
    </row>
    <row r="33" customFormat="false" ht="15" hidden="false" customHeight="false" outlineLevel="0" collapsed="false">
      <c r="A33" s="0" t="s">
        <v>22</v>
      </c>
    </row>
    <row r="34" customFormat="false" ht="15" hidden="false" customHeight="false" outlineLevel="0" collapsed="false">
      <c r="A34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4" min="3" style="0" width="15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B2" s="0" t="s">
        <v>25</v>
      </c>
      <c r="C2" s="2"/>
    </row>
    <row r="4" customFormat="false" ht="15" hidden="false" customHeight="false" outlineLevel="0" collapsed="false">
      <c r="B4" s="0" t="s">
        <v>26</v>
      </c>
      <c r="C4" s="2"/>
    </row>
    <row r="6" customFormat="false" ht="15" hidden="false" customHeight="false" outlineLevel="0" collapsed="false">
      <c r="B6" s="0" t="s">
        <v>27</v>
      </c>
      <c r="C6" s="2"/>
    </row>
    <row r="8" customFormat="false" ht="15" hidden="false" customHeight="false" outlineLevel="0" collapsed="false">
      <c r="B8" s="1" t="s">
        <v>28</v>
      </c>
      <c r="C8" s="2"/>
    </row>
    <row r="9" customFormat="false" ht="15" hidden="false" customHeight="false" outlineLevel="0" collapsed="false">
      <c r="A9" s="0" t="s">
        <v>29</v>
      </c>
      <c r="D9" s="0" t="n">
        <f aca="false">C8</f>
        <v>0</v>
      </c>
    </row>
    <row r="10" customFormat="false" ht="15" hidden="false" customHeight="false" outlineLevel="0" collapsed="false">
      <c r="B10" s="1" t="s">
        <v>30</v>
      </c>
    </row>
    <row r="11" customFormat="false" ht="15" hidden="false" customHeight="false" outlineLevel="0" collapsed="false">
      <c r="B11" s="0" t="s">
        <v>31</v>
      </c>
      <c r="C11" s="2"/>
    </row>
    <row r="12" customFormat="false" ht="15" hidden="false" customHeight="false" outlineLevel="0" collapsed="false">
      <c r="B12" s="0" t="s">
        <v>32</v>
      </c>
      <c r="C12" s="2"/>
    </row>
    <row r="13" customFormat="false" ht="15" hidden="false" customHeight="false" outlineLevel="0" collapsed="false">
      <c r="B13" s="0" t="s">
        <v>33</v>
      </c>
      <c r="C13" s="0" t="n">
        <f aca="false">C6*C12/1000</f>
        <v>0</v>
      </c>
    </row>
    <row r="14" customFormat="false" ht="15" hidden="false" customHeight="false" outlineLevel="0" collapsed="false">
      <c r="B14" s="0" t="s">
        <v>34</v>
      </c>
      <c r="C14" s="2"/>
    </row>
    <row r="15" customFormat="false" ht="15" hidden="false" customHeight="false" outlineLevel="0" collapsed="false">
      <c r="B15" s="0" t="s">
        <v>35</v>
      </c>
      <c r="C15" s="2"/>
    </row>
    <row r="16" customFormat="false" ht="15" hidden="false" customHeight="false" outlineLevel="0" collapsed="false">
      <c r="B16" s="0" t="s">
        <v>36</v>
      </c>
      <c r="C16" s="2"/>
    </row>
    <row r="17" customFormat="false" ht="15" hidden="false" customHeight="false" outlineLevel="0" collapsed="false">
      <c r="A17" s="0" t="s">
        <v>37</v>
      </c>
      <c r="C17" s="0" t="s">
        <v>38</v>
      </c>
      <c r="D17" s="0" t="n">
        <f aca="false">SUM(C13:C16)</f>
        <v>0</v>
      </c>
    </row>
    <row r="18" customFormat="false" ht="15" hidden="false" customHeight="false" outlineLevel="0" collapsed="false">
      <c r="B18" s="1" t="s">
        <v>39</v>
      </c>
    </row>
    <row r="19" customFormat="false" ht="15" hidden="false" customHeight="false" outlineLevel="0" collapsed="false">
      <c r="B19" s="0" t="s">
        <v>40</v>
      </c>
      <c r="C19" s="2"/>
    </row>
    <row r="20" customFormat="false" ht="15" hidden="false" customHeight="false" outlineLevel="0" collapsed="false">
      <c r="B20" s="0" t="s">
        <v>41</v>
      </c>
      <c r="C20" s="2"/>
    </row>
    <row r="21" customFormat="false" ht="15" hidden="false" customHeight="false" outlineLevel="0" collapsed="false">
      <c r="B21" s="0" t="s">
        <v>42</v>
      </c>
      <c r="C21" s="2"/>
    </row>
    <row r="22" customFormat="false" ht="15" hidden="false" customHeight="false" outlineLevel="0" collapsed="false">
      <c r="B22" s="0" t="s">
        <v>43</v>
      </c>
      <c r="C22" s="2" t="n">
        <v>0</v>
      </c>
    </row>
    <row r="23" customFormat="false" ht="15" hidden="false" customHeight="false" outlineLevel="0" collapsed="false">
      <c r="B23" s="0" t="s">
        <v>44</v>
      </c>
      <c r="C23" s="2"/>
    </row>
    <row r="24" customFormat="false" ht="15" hidden="false" customHeight="false" outlineLevel="0" collapsed="false">
      <c r="A24" s="0" t="s">
        <v>45</v>
      </c>
      <c r="C24" s="0" t="s">
        <v>38</v>
      </c>
      <c r="D24" s="0" t="n">
        <f aca="false">SUM(C19:C23)</f>
        <v>0</v>
      </c>
    </row>
    <row r="25" customFormat="false" ht="15" hidden="false" customHeight="false" outlineLevel="0" collapsed="false">
      <c r="B25" s="1" t="s">
        <v>46</v>
      </c>
    </row>
    <row r="26" customFormat="false" ht="15" hidden="false" customHeight="false" outlineLevel="0" collapsed="false">
      <c r="B26" s="0" t="s">
        <v>47</v>
      </c>
      <c r="C26" s="2"/>
    </row>
    <row r="27" customFormat="false" ht="15" hidden="false" customHeight="false" outlineLevel="0" collapsed="false">
      <c r="B27" s="0" t="s">
        <v>48</v>
      </c>
      <c r="C27" s="0" t="n">
        <f aca="false">C26*0.14</f>
        <v>0</v>
      </c>
    </row>
    <row r="28" customFormat="false" ht="15" hidden="false" customHeight="false" outlineLevel="0" collapsed="false">
      <c r="A28" s="0" t="s">
        <v>49</v>
      </c>
      <c r="C28" s="0" t="s">
        <v>38</v>
      </c>
      <c r="D28" s="0" t="n">
        <f aca="false">C27</f>
        <v>0</v>
      </c>
    </row>
    <row r="29" customFormat="false" ht="15" hidden="false" customHeight="false" outlineLevel="0" collapsed="false">
      <c r="B29" s="1" t="s">
        <v>50</v>
      </c>
    </row>
    <row r="30" customFormat="false" ht="15" hidden="false" customHeight="false" outlineLevel="0" collapsed="false">
      <c r="B30" s="0" t="s">
        <v>51</v>
      </c>
      <c r="C30" s="2"/>
    </row>
    <row r="31" customFormat="false" ht="15" hidden="false" customHeight="false" outlineLevel="0" collapsed="false">
      <c r="B31" s="0" t="s">
        <v>52</v>
      </c>
      <c r="C31" s="2"/>
    </row>
    <row r="32" customFormat="false" ht="15" hidden="false" customHeight="false" outlineLevel="0" collapsed="false">
      <c r="B32" s="0" t="s">
        <v>53</v>
      </c>
      <c r="C32" s="2"/>
    </row>
    <row r="33" customFormat="false" ht="15" hidden="false" customHeight="false" outlineLevel="0" collapsed="false">
      <c r="A33" s="0" t="s">
        <v>54</v>
      </c>
      <c r="C33" s="0" t="s">
        <v>38</v>
      </c>
      <c r="D33" s="0" t="n">
        <f aca="false">SUM(C30:C32)</f>
        <v>0</v>
      </c>
    </row>
    <row r="34" customFormat="false" ht="15" hidden="false" customHeight="false" outlineLevel="0" collapsed="false">
      <c r="B34" s="1" t="s">
        <v>55</v>
      </c>
    </row>
    <row r="35" customFormat="false" ht="15" hidden="false" customHeight="false" outlineLevel="0" collapsed="false">
      <c r="B35" s="0" t="s">
        <v>56</v>
      </c>
      <c r="C35" s="2"/>
    </row>
    <row r="36" customFormat="false" ht="15" hidden="false" customHeight="false" outlineLevel="0" collapsed="false">
      <c r="B36" s="0" t="s">
        <v>57</v>
      </c>
      <c r="D36" s="0" t="n">
        <f aca="false">D9-SUM(D17:D33)</f>
        <v>0</v>
      </c>
    </row>
    <row r="38" customFormat="false" ht="15" hidden="false" customHeight="false" outlineLevel="0" collapsed="false">
      <c r="B38" s="1" t="s">
        <v>58</v>
      </c>
    </row>
    <row r="39" customFormat="false" ht="15" hidden="false" customHeight="false" outlineLevel="0" collapsed="false">
      <c r="B39" s="0" t="s">
        <v>59</v>
      </c>
      <c r="D39" s="3" t="e">
        <f aca="false">SUM(D17:D24)/D9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3" style="0" width="10"/>
    <col collapsed="false" customWidth="true" hidden="false" outlineLevel="0" max="5" min="5" style="0" width="10"/>
    <col collapsed="false" customWidth="true" hidden="false" outlineLevel="0" max="7" min="7" style="0" width="10"/>
    <col collapsed="false" customWidth="true" hidden="false" outlineLevel="0" max="9" min="9" style="0" width="10"/>
    <col collapsed="false" customWidth="true" hidden="false" outlineLevel="0" max="11" min="11" style="0" width="10"/>
    <col collapsed="false" customWidth="true" hidden="false" outlineLevel="0" max="13" min="13" style="0" width="10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0" t="s">
        <v>61</v>
      </c>
    </row>
    <row r="4" customFormat="false" ht="15" hidden="false" customHeight="false" outlineLevel="0" collapsed="false">
      <c r="A4" s="0" t="s">
        <v>62</v>
      </c>
      <c r="C4" s="0" t="s">
        <v>63</v>
      </c>
      <c r="E4" s="0" t="s">
        <v>64</v>
      </c>
      <c r="G4" s="0" t="s">
        <v>65</v>
      </c>
      <c r="I4" s="0" t="s">
        <v>62</v>
      </c>
      <c r="K4" s="0" t="s">
        <v>63</v>
      </c>
      <c r="M4" s="0" t="s">
        <v>64</v>
      </c>
      <c r="O4" s="0" t="s">
        <v>65</v>
      </c>
    </row>
    <row r="5" customFormat="false" ht="15" hidden="false" customHeight="false" outlineLevel="0" collapsed="false">
      <c r="A5" s="0" t="s">
        <v>66</v>
      </c>
      <c r="C5" s="0" t="s">
        <v>67</v>
      </c>
      <c r="E5" s="0" t="s">
        <v>67</v>
      </c>
      <c r="G5" s="0" t="s">
        <v>67</v>
      </c>
      <c r="I5" s="0" t="s">
        <v>66</v>
      </c>
      <c r="K5" s="0" t="s">
        <v>67</v>
      </c>
      <c r="M5" s="0" t="s">
        <v>67</v>
      </c>
      <c r="O5" s="0" t="s">
        <v>67</v>
      </c>
    </row>
    <row r="7" customFormat="false" ht="15" hidden="false" customHeight="false" outlineLevel="0" collapsed="false">
      <c r="A7" s="4" t="n">
        <v>0.04</v>
      </c>
      <c r="C7" s="0" t="n">
        <v>7.4</v>
      </c>
      <c r="E7" s="0" t="n">
        <v>6.06</v>
      </c>
      <c r="G7" s="0" t="n">
        <v>4.77</v>
      </c>
      <c r="I7" s="4" t="n">
        <v>0.06875</v>
      </c>
      <c r="K7" s="0" t="n">
        <v>8.92</v>
      </c>
      <c r="M7" s="0" t="n">
        <v>7.68</v>
      </c>
      <c r="O7" s="0" t="n">
        <v>6.57</v>
      </c>
    </row>
    <row r="8" customFormat="false" ht="15" hidden="false" customHeight="false" outlineLevel="0" collapsed="false">
      <c r="A8" s="4" t="n">
        <v>0.04125</v>
      </c>
      <c r="C8" s="0" t="n">
        <v>7.46</v>
      </c>
      <c r="E8" s="0" t="n">
        <v>6.13</v>
      </c>
      <c r="G8" s="0" t="n">
        <v>4.85</v>
      </c>
      <c r="I8" s="4" t="n">
        <v>0.07</v>
      </c>
      <c r="K8" s="0" t="n">
        <v>8.99</v>
      </c>
      <c r="M8" s="0" t="n">
        <v>7.75</v>
      </c>
      <c r="O8" s="0" t="n">
        <v>6.65</v>
      </c>
    </row>
    <row r="9" customFormat="false" ht="15" hidden="false" customHeight="false" outlineLevel="0" collapsed="false">
      <c r="A9" s="4" t="n">
        <v>0.0425</v>
      </c>
      <c r="C9" s="0" t="n">
        <v>7.52</v>
      </c>
      <c r="E9" s="0" t="n">
        <v>6.19</v>
      </c>
      <c r="G9" s="0" t="n">
        <v>4.92</v>
      </c>
      <c r="I9" s="4" t="n">
        <v>0.07125</v>
      </c>
      <c r="K9" s="0" t="n">
        <v>9.06</v>
      </c>
      <c r="M9" s="0" t="n">
        <v>7.83</v>
      </c>
      <c r="O9" s="0" t="n">
        <v>6.74</v>
      </c>
    </row>
    <row r="10" customFormat="false" ht="15" hidden="false" customHeight="false" outlineLevel="0" collapsed="false">
      <c r="A10" s="4" t="n">
        <v>0.04375</v>
      </c>
      <c r="C10" s="0" t="n">
        <v>7.59</v>
      </c>
      <c r="E10" s="0" t="n">
        <v>6.26</v>
      </c>
      <c r="G10" s="0" t="n">
        <v>4.99</v>
      </c>
      <c r="I10" s="4" t="n">
        <v>0.0725</v>
      </c>
      <c r="K10" s="0" t="n">
        <v>9.13</v>
      </c>
      <c r="M10" s="0" t="n">
        <v>7.9</v>
      </c>
      <c r="O10" s="0" t="n">
        <v>6.82</v>
      </c>
    </row>
    <row r="11" customFormat="false" ht="15" hidden="false" customHeight="false" outlineLevel="0" collapsed="false">
      <c r="A11" s="4" t="n">
        <v>0.045</v>
      </c>
      <c r="C11" s="0" t="n">
        <v>7.65</v>
      </c>
      <c r="E11" s="0" t="n">
        <v>6.33</v>
      </c>
      <c r="G11" s="0" t="n">
        <v>5.07</v>
      </c>
      <c r="I11" s="4" t="n">
        <v>0.07375</v>
      </c>
      <c r="K11" s="0" t="n">
        <v>9.2</v>
      </c>
      <c r="M11" s="0" t="n">
        <v>7.98</v>
      </c>
      <c r="O11" s="0" t="n">
        <v>6.91</v>
      </c>
    </row>
    <row r="12" customFormat="false" ht="15" hidden="false" customHeight="false" outlineLevel="0" collapsed="false">
      <c r="A12" s="4" t="n">
        <v>0.04625</v>
      </c>
      <c r="C12" s="0" t="n">
        <v>7.71</v>
      </c>
      <c r="E12" s="0" t="n">
        <v>6.39</v>
      </c>
      <c r="G12" s="0" t="n">
        <v>5.14</v>
      </c>
      <c r="I12" s="4" t="n">
        <v>0.075</v>
      </c>
      <c r="K12" s="0" t="n">
        <v>9.27</v>
      </c>
      <c r="M12" s="0" t="n">
        <v>8.06</v>
      </c>
      <c r="O12" s="0" t="n">
        <v>6.99</v>
      </c>
    </row>
    <row r="13" customFormat="false" ht="15" hidden="false" customHeight="false" outlineLevel="0" collapsed="false">
      <c r="A13" s="4" t="n">
        <v>0.0475</v>
      </c>
      <c r="C13" s="0" t="n">
        <v>7.78</v>
      </c>
      <c r="E13" s="0" t="n">
        <v>6.46</v>
      </c>
      <c r="G13" s="0" t="n">
        <v>5.22</v>
      </c>
      <c r="I13" s="4" t="n">
        <v>0.07625</v>
      </c>
      <c r="K13" s="0" t="n">
        <v>9.34</v>
      </c>
      <c r="M13" s="0" t="n">
        <v>8.13</v>
      </c>
      <c r="O13" s="0" t="n">
        <v>7.08</v>
      </c>
    </row>
    <row r="14" customFormat="false" ht="15" hidden="false" customHeight="false" outlineLevel="0" collapsed="false">
      <c r="A14" s="4" t="n">
        <v>0.04875</v>
      </c>
      <c r="C14" s="0" t="n">
        <v>7.84</v>
      </c>
      <c r="E14" s="0" t="n">
        <v>6.53</v>
      </c>
      <c r="G14" s="0" t="n">
        <v>5.29</v>
      </c>
      <c r="I14" s="4" t="n">
        <v>0.0775</v>
      </c>
      <c r="K14" s="0" t="n">
        <v>9.41</v>
      </c>
      <c r="M14" s="0" t="n">
        <v>8.21</v>
      </c>
      <c r="O14" s="0" t="n">
        <v>7.16</v>
      </c>
    </row>
    <row r="15" customFormat="false" ht="15" hidden="false" customHeight="false" outlineLevel="0" collapsed="false">
      <c r="A15" s="4" t="n">
        <v>0.05</v>
      </c>
      <c r="C15" s="0" t="n">
        <v>7.91</v>
      </c>
      <c r="E15" s="0" t="n">
        <v>6.6</v>
      </c>
      <c r="G15" s="0" t="n">
        <v>5.37</v>
      </c>
      <c r="I15" s="4" t="n">
        <v>0.07875</v>
      </c>
      <c r="K15" s="0" t="n">
        <v>9.48</v>
      </c>
      <c r="M15" s="0" t="n">
        <v>8.29</v>
      </c>
      <c r="O15" s="0" t="n">
        <v>7.25</v>
      </c>
    </row>
    <row r="16" customFormat="false" ht="15" hidden="false" customHeight="false" outlineLevel="0" collapsed="false">
      <c r="A16" s="4" t="n">
        <v>0.05125</v>
      </c>
      <c r="C16" s="0" t="n">
        <v>7.97</v>
      </c>
      <c r="E16" s="0" t="n">
        <v>6.67</v>
      </c>
      <c r="G16" s="0" t="n">
        <v>5.44</v>
      </c>
      <c r="I16" s="4" t="n">
        <v>0.08</v>
      </c>
      <c r="K16" s="0" t="n">
        <v>9.56</v>
      </c>
      <c r="M16" s="0" t="n">
        <v>8.36</v>
      </c>
      <c r="O16" s="0" t="n">
        <v>7.34</v>
      </c>
    </row>
    <row r="17" customFormat="false" ht="15" hidden="false" customHeight="false" outlineLevel="0" collapsed="false">
      <c r="A17" s="4" t="n">
        <v>0.0525</v>
      </c>
      <c r="C17" s="0" t="n">
        <v>8.04</v>
      </c>
      <c r="E17" s="0" t="n">
        <v>6.74</v>
      </c>
      <c r="G17" s="0" t="n">
        <v>5.52</v>
      </c>
      <c r="I17" s="4" t="n">
        <v>0.08125</v>
      </c>
      <c r="K17" s="0" t="n">
        <v>9.63</v>
      </c>
      <c r="M17" s="0" t="n">
        <v>8.44</v>
      </c>
      <c r="O17" s="0" t="n">
        <v>7.42</v>
      </c>
    </row>
    <row r="18" customFormat="false" ht="15" hidden="false" customHeight="false" outlineLevel="0" collapsed="false">
      <c r="A18" s="4" t="n">
        <v>0.05375</v>
      </c>
      <c r="C18" s="0" t="n">
        <v>8.1</v>
      </c>
      <c r="E18" s="0" t="n">
        <v>6.81</v>
      </c>
      <c r="G18" s="0" t="n">
        <v>5.6</v>
      </c>
      <c r="I18" s="4" t="n">
        <v>0.0825</v>
      </c>
      <c r="K18" s="0" t="n">
        <v>9.7</v>
      </c>
      <c r="M18" s="0" t="n">
        <v>8.52</v>
      </c>
      <c r="O18" s="0" t="n">
        <v>7.51</v>
      </c>
    </row>
    <row r="19" customFormat="false" ht="15" hidden="false" customHeight="false" outlineLevel="0" collapsed="false">
      <c r="A19" s="4" t="n">
        <v>0.055</v>
      </c>
      <c r="C19" s="0" t="n">
        <v>8.17</v>
      </c>
      <c r="E19" s="0" t="n">
        <v>6.88</v>
      </c>
      <c r="G19" s="0" t="n">
        <v>5.68</v>
      </c>
      <c r="I19" s="4" t="n">
        <v>0.08375</v>
      </c>
      <c r="K19" s="0" t="n">
        <v>9.77</v>
      </c>
      <c r="M19" s="0" t="n">
        <v>8.6</v>
      </c>
      <c r="O19" s="0" t="n">
        <v>7.6</v>
      </c>
    </row>
    <row r="20" customFormat="false" ht="15" hidden="false" customHeight="false" outlineLevel="0" collapsed="false">
      <c r="A20" s="4" t="n">
        <v>0.05625</v>
      </c>
      <c r="C20" s="0" t="n">
        <v>8.24</v>
      </c>
      <c r="E20" s="0" t="n">
        <v>6.95</v>
      </c>
      <c r="G20" s="0" t="n">
        <v>5.76</v>
      </c>
      <c r="I20" s="4" t="n">
        <v>0.085</v>
      </c>
      <c r="K20" s="0" t="n">
        <v>9.85</v>
      </c>
      <c r="M20" s="0" t="n">
        <v>8.68</v>
      </c>
      <c r="O20" s="0" t="n">
        <v>7.69</v>
      </c>
    </row>
    <row r="21" customFormat="false" ht="15" hidden="false" customHeight="false" outlineLevel="0" collapsed="false">
      <c r="A21" s="4" t="n">
        <v>0.0575</v>
      </c>
      <c r="C21" s="0" t="n">
        <v>8.3</v>
      </c>
      <c r="E21" s="0" t="n">
        <v>7.02</v>
      </c>
      <c r="G21" s="0" t="n">
        <v>5.84</v>
      </c>
      <c r="I21" s="4" t="n">
        <v>0.08625</v>
      </c>
      <c r="K21" s="0" t="n">
        <v>9.92</v>
      </c>
      <c r="M21" s="0" t="n">
        <v>8.76</v>
      </c>
      <c r="O21" s="0" t="n">
        <v>7.78</v>
      </c>
    </row>
    <row r="22" customFormat="false" ht="15" hidden="false" customHeight="false" outlineLevel="0" collapsed="false">
      <c r="A22" s="4" t="n">
        <v>0.05875</v>
      </c>
      <c r="C22" s="0" t="n">
        <v>8.37</v>
      </c>
      <c r="E22" s="0" t="n">
        <v>7.09</v>
      </c>
      <c r="G22" s="0" t="n">
        <v>5.92</v>
      </c>
      <c r="I22" s="4" t="n">
        <v>0.0875</v>
      </c>
      <c r="K22" s="0" t="n">
        <v>9.99</v>
      </c>
      <c r="M22" s="0" t="n">
        <v>8.84</v>
      </c>
      <c r="O22" s="0" t="n">
        <v>7.87</v>
      </c>
    </row>
    <row r="23" customFormat="false" ht="15" hidden="false" customHeight="false" outlineLevel="0" collapsed="false">
      <c r="A23" s="4" t="n">
        <v>0.06</v>
      </c>
      <c r="C23" s="0" t="n">
        <v>8.44</v>
      </c>
      <c r="E23" s="0" t="n">
        <v>7.16</v>
      </c>
      <c r="G23" s="0" t="n">
        <v>6</v>
      </c>
      <c r="I23" s="4" t="n">
        <v>0.08875</v>
      </c>
      <c r="K23" s="0" t="n">
        <v>10.07</v>
      </c>
      <c r="M23" s="0" t="n">
        <v>8.92</v>
      </c>
      <c r="O23" s="0" t="n">
        <v>7.96</v>
      </c>
    </row>
    <row r="24" customFormat="false" ht="15" hidden="false" customHeight="false" outlineLevel="0" collapsed="false">
      <c r="A24" s="4" t="n">
        <v>0.06125</v>
      </c>
      <c r="C24" s="0" t="n">
        <v>8.51</v>
      </c>
      <c r="E24" s="0" t="n">
        <v>7.24</v>
      </c>
      <c r="G24" s="0" t="n">
        <v>6.08</v>
      </c>
      <c r="I24" s="4" t="n">
        <v>0.09</v>
      </c>
      <c r="K24" s="0" t="n">
        <v>10.14</v>
      </c>
      <c r="M24" s="0" t="n">
        <v>9</v>
      </c>
      <c r="O24" s="0" t="n">
        <v>8.05</v>
      </c>
    </row>
    <row r="25" customFormat="false" ht="15" hidden="false" customHeight="false" outlineLevel="0" collapsed="false">
      <c r="A25" s="4" t="n">
        <v>0.0625</v>
      </c>
      <c r="C25" s="0" t="n">
        <v>8.57</v>
      </c>
      <c r="E25" s="0" t="n">
        <v>7.31</v>
      </c>
      <c r="G25" s="0" t="n">
        <v>6.16</v>
      </c>
      <c r="I25" s="4" t="n">
        <v>0.09125</v>
      </c>
      <c r="K25" s="0" t="n">
        <v>10.22</v>
      </c>
      <c r="M25" s="0" t="n">
        <v>9.08</v>
      </c>
      <c r="O25" s="0" t="n">
        <v>8.14</v>
      </c>
    </row>
    <row r="26" customFormat="false" ht="15" hidden="false" customHeight="false" outlineLevel="0" collapsed="false">
      <c r="A26" s="4" t="n">
        <v>0.06375</v>
      </c>
      <c r="C26" s="0" t="n">
        <v>8.64</v>
      </c>
      <c r="E26" s="0" t="n">
        <v>7.38</v>
      </c>
      <c r="G26" s="0" t="n">
        <v>6.24</v>
      </c>
      <c r="I26" s="4" t="n">
        <v>0.0925</v>
      </c>
      <c r="K26" s="0" t="n">
        <v>10.29</v>
      </c>
      <c r="M26" s="0" t="n">
        <v>9.16</v>
      </c>
      <c r="O26" s="0" t="n">
        <v>8.23</v>
      </c>
    </row>
    <row r="27" customFormat="false" ht="15" hidden="false" customHeight="false" outlineLevel="0" collapsed="false">
      <c r="A27" s="4" t="n">
        <v>0.065</v>
      </c>
      <c r="C27" s="0" t="n">
        <v>8.71</v>
      </c>
      <c r="E27" s="0" t="n">
        <v>7.46</v>
      </c>
      <c r="G27" s="0" t="n">
        <v>6.32</v>
      </c>
      <c r="I27" s="4" t="n">
        <v>0.09375</v>
      </c>
      <c r="K27" s="0" t="n">
        <v>10.37</v>
      </c>
      <c r="M27" s="0" t="n">
        <v>9.24</v>
      </c>
      <c r="O27" s="0" t="n">
        <v>8.32</v>
      </c>
    </row>
    <row r="28" customFormat="false" ht="15" hidden="false" customHeight="false" outlineLevel="0" collapsed="false">
      <c r="A28" s="4" t="n">
        <v>0.06625</v>
      </c>
      <c r="C28" s="0" t="n">
        <v>8.78</v>
      </c>
      <c r="E28" s="0" t="n">
        <v>7.53</v>
      </c>
      <c r="G28" s="0" t="n">
        <v>6.4</v>
      </c>
      <c r="I28" s="4" t="n">
        <v>0.095</v>
      </c>
      <c r="K28" s="0" t="n">
        <v>10.44</v>
      </c>
      <c r="M28" s="0" t="n">
        <v>9.32</v>
      </c>
      <c r="O28" s="0" t="n">
        <v>8.41</v>
      </c>
    </row>
    <row r="29" customFormat="false" ht="15" hidden="false" customHeight="false" outlineLevel="0" collapsed="false">
      <c r="A29" s="4" t="n">
        <v>0.0675</v>
      </c>
      <c r="C29" s="0" t="n">
        <v>8.85</v>
      </c>
      <c r="E29" s="0" t="n">
        <v>7.6</v>
      </c>
      <c r="G29" s="0" t="n">
        <v>6.49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5" min="3" style="0" width="12"/>
    <col collapsed="false" customWidth="true" hidden="false" outlineLevel="0" max="8" min="8" style="0" width="12"/>
    <col collapsed="false" customWidth="true" hidden="false" outlineLevel="0" max="11" min="9" style="0" width="18"/>
  </cols>
  <sheetData>
    <row r="1" customFormat="false" ht="15" hidden="false" customHeight="false" outlineLevel="0" collapsed="false">
      <c r="A1" s="1" t="s">
        <v>68</v>
      </c>
      <c r="H1" s="1" t="s">
        <v>69</v>
      </c>
    </row>
    <row r="2" customFormat="false" ht="15" hidden="false" customHeight="false" outlineLevel="0" collapsed="false">
      <c r="A2" s="0" t="s">
        <v>70</v>
      </c>
      <c r="H2" s="1" t="s">
        <v>71</v>
      </c>
      <c r="I2" s="5" t="s">
        <v>72</v>
      </c>
      <c r="J2" s="5" t="s">
        <v>73</v>
      </c>
      <c r="K2" s="5" t="s">
        <v>74</v>
      </c>
    </row>
    <row r="3" customFormat="false" ht="15" hidden="false" customHeight="false" outlineLevel="0" collapsed="false">
      <c r="A3" s="1" t="s">
        <v>75</v>
      </c>
      <c r="B3" s="1" t="s">
        <v>71</v>
      </c>
      <c r="C3" s="1" t="s">
        <v>76</v>
      </c>
      <c r="D3" s="1" t="s">
        <v>77</v>
      </c>
      <c r="E3" s="1" t="s">
        <v>78</v>
      </c>
      <c r="I3" s="5" t="s">
        <v>79</v>
      </c>
      <c r="J3" s="5" t="s">
        <v>80</v>
      </c>
      <c r="K3" s="5" t="s">
        <v>81</v>
      </c>
    </row>
    <row r="4" customFormat="false" ht="15" hidden="false" customHeight="false" outlineLevel="0" collapsed="false">
      <c r="A4" s="0" t="n">
        <v>1</v>
      </c>
      <c r="B4" s="0" t="n">
        <v>390</v>
      </c>
      <c r="C4" s="0" t="n">
        <v>382</v>
      </c>
      <c r="D4" s="0" t="n">
        <v>382</v>
      </c>
      <c r="E4" s="0" t="n">
        <v>425</v>
      </c>
      <c r="I4" s="0" t="s">
        <v>82</v>
      </c>
      <c r="J4" s="0" t="s">
        <v>83</v>
      </c>
      <c r="K4" s="0" t="s">
        <v>84</v>
      </c>
    </row>
    <row r="5" customFormat="false" ht="15" hidden="false" customHeight="false" outlineLevel="0" collapsed="false">
      <c r="A5" s="0" t="n">
        <v>2</v>
      </c>
      <c r="B5" s="0" t="n">
        <v>654</v>
      </c>
      <c r="C5" s="0" t="n">
        <v>641</v>
      </c>
      <c r="D5" s="0" t="n">
        <v>641</v>
      </c>
      <c r="E5" s="0" t="n">
        <v>713</v>
      </c>
      <c r="H5" s="1" t="s">
        <v>76</v>
      </c>
      <c r="I5" s="5" t="s">
        <v>85</v>
      </c>
      <c r="J5" s="5" t="s">
        <v>86</v>
      </c>
      <c r="K5" s="5" t="s">
        <v>87</v>
      </c>
    </row>
    <row r="6" customFormat="false" ht="15" hidden="false" customHeight="false" outlineLevel="0" collapsed="false">
      <c r="A6" s="0" t="n">
        <v>3</v>
      </c>
      <c r="B6" s="0" t="n">
        <v>788</v>
      </c>
      <c r="C6" s="0" t="n">
        <v>772</v>
      </c>
      <c r="D6" s="0" t="n">
        <v>772</v>
      </c>
      <c r="E6" s="0" t="n">
        <v>859</v>
      </c>
      <c r="I6" s="0" t="s">
        <v>88</v>
      </c>
      <c r="J6" s="0" t="s">
        <v>89</v>
      </c>
      <c r="K6" s="0" t="s">
        <v>90</v>
      </c>
    </row>
    <row r="7" customFormat="false" ht="15" hidden="false" customHeight="false" outlineLevel="0" collapsed="false">
      <c r="A7" s="0" t="n">
        <v>4</v>
      </c>
      <c r="B7" s="0" t="n">
        <v>888</v>
      </c>
      <c r="C7" s="0" t="n">
        <v>868</v>
      </c>
      <c r="D7" s="0" t="n">
        <v>868</v>
      </c>
      <c r="E7" s="0" t="n">
        <v>967</v>
      </c>
      <c r="I7" s="0" t="s">
        <v>91</v>
      </c>
      <c r="J7" s="0" t="s">
        <v>92</v>
      </c>
      <c r="K7" s="0" t="s">
        <v>93</v>
      </c>
    </row>
    <row r="8" customFormat="false" ht="15" hidden="false" customHeight="false" outlineLevel="0" collapsed="false">
      <c r="A8" s="0" t="n">
        <v>5</v>
      </c>
      <c r="B8" s="0" t="n">
        <v>921</v>
      </c>
      <c r="C8" s="0" t="n">
        <v>902</v>
      </c>
      <c r="D8" s="0" t="n">
        <v>902</v>
      </c>
      <c r="E8" s="0" t="n">
        <v>1004</v>
      </c>
      <c r="I8" s="0" t="s">
        <v>94</v>
      </c>
      <c r="J8" s="0" t="s">
        <v>95</v>
      </c>
      <c r="K8" s="0" t="s">
        <v>96</v>
      </c>
    </row>
    <row r="9" customFormat="false" ht="15" hidden="false" customHeight="false" outlineLevel="0" collapsed="false">
      <c r="A9" s="0" t="s">
        <v>97</v>
      </c>
      <c r="B9" s="0" t="s">
        <v>98</v>
      </c>
      <c r="H9" s="1" t="s">
        <v>77</v>
      </c>
      <c r="I9" s="5" t="s">
        <v>99</v>
      </c>
      <c r="J9" s="5" t="s">
        <v>100</v>
      </c>
      <c r="K9" s="5" t="s">
        <v>101</v>
      </c>
    </row>
    <row r="10" customFormat="false" ht="15" hidden="false" customHeight="false" outlineLevel="0" collapsed="false">
      <c r="I10" s="0" t="s">
        <v>102</v>
      </c>
      <c r="J10" s="0" t="s">
        <v>103</v>
      </c>
      <c r="K10" s="0" t="s">
        <v>104</v>
      </c>
    </row>
    <row r="11" customFormat="false" ht="15" hidden="false" customHeight="false" outlineLevel="0" collapsed="false">
      <c r="A11" s="1" t="s">
        <v>68</v>
      </c>
      <c r="I11" s="5" t="s">
        <v>105</v>
      </c>
      <c r="J11" s="5" t="s">
        <v>106</v>
      </c>
      <c r="K11" s="5" t="s">
        <v>107</v>
      </c>
    </row>
    <row r="12" customFormat="false" ht="15" hidden="false" customHeight="false" outlineLevel="0" collapsed="false">
      <c r="A12" s="0" t="s">
        <v>108</v>
      </c>
      <c r="I12" s="0" t="s">
        <v>109</v>
      </c>
      <c r="J12" s="0" t="s">
        <v>110</v>
      </c>
      <c r="K12" s="0" t="s">
        <v>111</v>
      </c>
    </row>
    <row r="13" customFormat="false" ht="15" hidden="false" customHeight="false" outlineLevel="0" collapsed="false">
      <c r="A13" s="1" t="s">
        <v>75</v>
      </c>
      <c r="B13" s="1" t="s">
        <v>71</v>
      </c>
      <c r="C13" s="1" t="s">
        <v>76</v>
      </c>
      <c r="D13" s="1" t="s">
        <v>77</v>
      </c>
      <c r="E13" s="1" t="s">
        <v>78</v>
      </c>
      <c r="I13" s="5" t="s">
        <v>112</v>
      </c>
      <c r="J13" s="5" t="s">
        <v>113</v>
      </c>
      <c r="K13" s="5" t="s">
        <v>114</v>
      </c>
    </row>
    <row r="14" customFormat="false" ht="15" hidden="false" customHeight="false" outlineLevel="0" collapsed="false">
      <c r="A14" s="0" t="n">
        <v>1</v>
      </c>
      <c r="B14" s="0" t="n">
        <v>450</v>
      </c>
      <c r="C14" s="0" t="n">
        <v>441</v>
      </c>
      <c r="D14" s="0" t="n">
        <v>441</v>
      </c>
      <c r="E14" s="0" t="n">
        <v>491</v>
      </c>
      <c r="I14" s="0" t="s">
        <v>115</v>
      </c>
      <c r="J14" s="0" t="s">
        <v>116</v>
      </c>
      <c r="K14" s="0" t="s">
        <v>117</v>
      </c>
    </row>
    <row r="15" customFormat="false" ht="15" hidden="false" customHeight="false" outlineLevel="0" collapsed="false">
      <c r="A15" s="0" t="n">
        <v>2</v>
      </c>
      <c r="B15" s="0" t="n">
        <v>755</v>
      </c>
      <c r="C15" s="0" t="n">
        <v>738</v>
      </c>
      <c r="D15" s="0" t="n">
        <v>738</v>
      </c>
      <c r="E15" s="0" t="n">
        <v>823</v>
      </c>
      <c r="H15" s="1" t="s">
        <v>78</v>
      </c>
      <c r="I15" s="5" t="s">
        <v>118</v>
      </c>
      <c r="J15" s="5" t="s">
        <v>119</v>
      </c>
      <c r="K15" s="5" t="s">
        <v>120</v>
      </c>
    </row>
    <row r="16" customFormat="false" ht="15" hidden="false" customHeight="false" outlineLevel="0" collapsed="false">
      <c r="A16" s="0" t="n">
        <v>3</v>
      </c>
      <c r="B16" s="0" t="n">
        <v>909</v>
      </c>
      <c r="C16" s="0" t="n">
        <v>889</v>
      </c>
      <c r="D16" s="0" t="n">
        <v>889</v>
      </c>
      <c r="E16" s="0" t="n">
        <v>990</v>
      </c>
      <c r="I16" s="0" t="s">
        <v>121</v>
      </c>
      <c r="J16" s="0" t="s">
        <v>122</v>
      </c>
      <c r="K16" s="0" t="s">
        <v>123</v>
      </c>
    </row>
    <row r="17" customFormat="false" ht="15" hidden="false" customHeight="false" outlineLevel="0" collapsed="false">
      <c r="A17" s="0" t="n">
        <v>4</v>
      </c>
      <c r="B17" s="0" t="n">
        <v>1025</v>
      </c>
      <c r="C17" s="0" t="n">
        <v>1003</v>
      </c>
      <c r="D17" s="0" t="n">
        <v>1003</v>
      </c>
      <c r="E17" s="0" t="n">
        <v>1117</v>
      </c>
      <c r="I17" s="0" t="s">
        <v>124</v>
      </c>
      <c r="J17" s="0" t="s">
        <v>125</v>
      </c>
      <c r="K17" s="0" t="s">
        <v>126</v>
      </c>
    </row>
    <row r="18" customFormat="false" ht="15" hidden="false" customHeight="false" outlineLevel="0" collapsed="false">
      <c r="A18" s="0" t="n">
        <v>5</v>
      </c>
      <c r="B18" s="0" t="n">
        <v>1062</v>
      </c>
      <c r="C18" s="0" t="n">
        <v>1039</v>
      </c>
      <c r="D18" s="0" t="n">
        <v>1039</v>
      </c>
      <c r="E18" s="0" t="n">
        <v>1158</v>
      </c>
      <c r="I18" s="0" t="s">
        <v>127</v>
      </c>
      <c r="J18" s="0" t="s">
        <v>128</v>
      </c>
      <c r="K18" s="0" t="s">
        <v>129</v>
      </c>
    </row>
    <row r="19" customFormat="false" ht="15" hidden="false" customHeight="false" outlineLevel="0" collapsed="false">
      <c r="A19" s="0" t="s">
        <v>97</v>
      </c>
      <c r="B19" s="0" t="s">
        <v>130</v>
      </c>
      <c r="K19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2026-01-28T15:34:57Z</dcterms:created>
  <dc:creator>openpyxl</dc:creator>
  <dc:description/>
  <dc:language>en-US</dc:language>
  <cp:lastModifiedBy/>
  <dcterms:modified xsi:type="dcterms:W3CDTF">2026-01-28T15:34:57Z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