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zacharyzink/Desktop/"/>
    </mc:Choice>
  </mc:AlternateContent>
  <xr:revisionPtr revIDLastSave="0" documentId="13_ncr:1_{2C0380C6-FA5A-C944-A528-3F5FBB012410}" xr6:coauthVersionLast="47" xr6:coauthVersionMax="47" xr10:uidLastSave="{00000000-0000-0000-0000-000000000000}"/>
  <bookViews>
    <workbookView xWindow="-35240" yWindow="3100" windowWidth="31260" windowHeight="12240" tabRatio="500" activeTab="2" xr2:uid="{00000000-000D-0000-FFFF-FFFF00000000}"/>
  </bookViews>
  <sheets>
    <sheet name="Instructions" sheetId="1" r:id="rId1"/>
    <sheet name="Pre-qual Worksheet" sheetId="2" r:id="rId2"/>
    <sheet name="P&amp;I Chart" sheetId="3" r:id="rId3"/>
    <sheet name="Residual Cha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2" l="1"/>
  <c r="C27" i="2"/>
  <c r="D28" i="2" s="1"/>
  <c r="D24" i="2"/>
  <c r="C13" i="2"/>
  <c r="D17" i="2" s="1"/>
  <c r="D9" i="2"/>
  <c r="D39" i="2" l="1"/>
  <c r="D36" i="2"/>
</calcChain>
</file>

<file path=xl/sharedStrings.xml><?xml version="1.0" encoding="utf-8"?>
<sst xmlns="http://schemas.openxmlformats.org/spreadsheetml/2006/main" count="157" uniqueCount="133">
  <si>
    <t>This pre-qualification worksheet will automatically calculate monthly housing expense,</t>
  </si>
  <si>
    <t>residual income and debt-to-income ratio. To access the worksheet, click on the</t>
  </si>
  <si>
    <t>"Pre-qual Worksheet" tab below. Simply enter the requested information into the</t>
  </si>
  <si>
    <t>grey-shaded areas.</t>
  </si>
  <si>
    <t>Some helpful tips:</t>
  </si>
  <si>
    <t>1. Use the arrow keys on your keyboard to navigate through the input areas.</t>
  </si>
  <si>
    <t>2. Item 2a asks for the "Payment Factor". Click on the "P&amp;I Chart" tab below to</t>
  </si>
  <si>
    <t xml:space="preserve">   obtain this number. The payment factor is based upon the interest rate and the</t>
  </si>
  <si>
    <t xml:space="preserve">   term of the loan.</t>
  </si>
  <si>
    <t>3. Item 6a asks for the amount of residual income required. Click on the "Residual</t>
  </si>
  <si>
    <t xml:space="preserve">   Chart" tab below to view the chart. Residual income guidelines are determined by</t>
  </si>
  <si>
    <t xml:space="preserve">   geographic location, family size and mortgage amount.</t>
  </si>
  <si>
    <t>4. Only input information into the grey areas! Information input into other areas</t>
  </si>
  <si>
    <t xml:space="preserve">   could possibly delete formulas required to calculate housing expenses, etc.</t>
  </si>
  <si>
    <t>VA Loans - Pre-screening Tips</t>
  </si>
  <si>
    <t>The anticipated success of a VA loan applicant can be anticipated adequately by two</t>
  </si>
  <si>
    <t>considerations: Balance - If the debt-to-income analysis indicates that one guideline</t>
  </si>
  <si>
    <t>is not met, it may still be counterbalanced by a positive shortcoming.</t>
  </si>
  <si>
    <t>Credit - A veteran must have a satisfactory (preferably 2 years) paid-as-agreed</t>
  </si>
  <si>
    <t>credit history or satisfactory explanation following a Chapter 7 bankruptcy with</t>
  </si>
  <si>
    <t>Trustee or Bankruptcy Judge approval.</t>
  </si>
  <si>
    <t>Employment Stability - Evidence of stability with current employer of less than</t>
  </si>
  <si>
    <t>2 years, verify prior employment totaling 2 years. For self-employed to be</t>
  </si>
  <si>
    <t>considered stable, must have been in business at least 2 years.</t>
  </si>
  <si>
    <t>***Enter requested information in gray areas. Totals/formulas will automatically be calculated.***</t>
  </si>
  <si>
    <t>NAME:</t>
  </si>
  <si>
    <t>FAMILY SIZE:</t>
  </si>
  <si>
    <t>MORTGAGE AMOUNT:</t>
  </si>
  <si>
    <t>1. Gross Monthly Income</t>
  </si>
  <si>
    <t>(1)</t>
  </si>
  <si>
    <t>2. Monthly Housing Expense (PITI)</t>
  </si>
  <si>
    <t xml:space="preserve">     Interest %</t>
  </si>
  <si>
    <t xml:space="preserve">  a. Payment Factor (From P&amp;I Chart)</t>
  </si>
  <si>
    <t xml:space="preserve">  b. Principal and Interest Payment</t>
  </si>
  <si>
    <t xml:space="preserve">  c. Property Taxes</t>
  </si>
  <si>
    <t xml:space="preserve">  d. Homeowners Insurance</t>
  </si>
  <si>
    <t xml:space="preserve">  e. HOA Dues</t>
  </si>
  <si>
    <t>(2)</t>
  </si>
  <si>
    <t>Total</t>
  </si>
  <si>
    <t>3. Monthly Debts and Obligations</t>
  </si>
  <si>
    <t xml:space="preserve">  a. Car(s)</t>
  </si>
  <si>
    <t xml:space="preserve">  b. Revolving Charge Accounts</t>
  </si>
  <si>
    <t xml:space="preserve">  c. Installment Loans</t>
  </si>
  <si>
    <t xml:space="preserve">  d. Child Care Expenses</t>
  </si>
  <si>
    <t xml:space="preserve">  e. Other</t>
  </si>
  <si>
    <t>(3)</t>
  </si>
  <si>
    <t>4. Monthly Maintenance &amp; Utilities</t>
  </si>
  <si>
    <t xml:space="preserve">  a. Total Square Footage</t>
  </si>
  <si>
    <t xml:space="preserve">  b. Square Footage X 14 cents per sq. ft.</t>
  </si>
  <si>
    <t>(4)</t>
  </si>
  <si>
    <t>5. Monthly Taxes</t>
  </si>
  <si>
    <t xml:space="preserve">  a. Federal Income Tax (from pay stubs)</t>
  </si>
  <si>
    <t xml:space="preserve">  b. State Income Tax (from pay stubs)</t>
  </si>
  <si>
    <t xml:space="preserve">  c. Social Security (salaried or SE'd)</t>
  </si>
  <si>
    <t>(5)</t>
  </si>
  <si>
    <t>6. Residual Income</t>
  </si>
  <si>
    <t xml:space="preserve">  a. Amount Required (Per Residual Chart)</t>
  </si>
  <si>
    <t xml:space="preserve">  b. Actual (1) minus (2), (3), (4) &amp; (5)</t>
  </si>
  <si>
    <t>7. Debt-to-Income Ratio (VA guideline 41%)</t>
  </si>
  <si>
    <t xml:space="preserve">     (2) + (3) divided by (1)</t>
  </si>
  <si>
    <t>MONTHLY PRINCIPAL AND INTEREST PAYMENT FACTORS</t>
  </si>
  <si>
    <t>(Per $1,000)</t>
  </si>
  <si>
    <t>Interest</t>
  </si>
  <si>
    <t>15-Year</t>
  </si>
  <si>
    <t>20-Year</t>
  </si>
  <si>
    <t>30-Year</t>
  </si>
  <si>
    <t>Rate</t>
  </si>
  <si>
    <t>Term</t>
  </si>
  <si>
    <t>Table of Residual Incomes by Region</t>
  </si>
  <si>
    <t>Key to Geographic Regions Used in the Preceding Tables</t>
  </si>
  <si>
    <t>For loan amounts of $79,999 and below</t>
  </si>
  <si>
    <t>Northeast</t>
  </si>
  <si>
    <t>Connecticut</t>
  </si>
  <si>
    <t>New Hampshire</t>
  </si>
  <si>
    <t>Pennsylvania</t>
  </si>
  <si>
    <t>Family Size</t>
  </si>
  <si>
    <t>Midwest</t>
  </si>
  <si>
    <t>South</t>
  </si>
  <si>
    <t>West</t>
  </si>
  <si>
    <t>Maine</t>
  </si>
  <si>
    <t>New Jersey</t>
  </si>
  <si>
    <t>Rhode Island</t>
  </si>
  <si>
    <t>Massachusetts</t>
  </si>
  <si>
    <t>New York</t>
  </si>
  <si>
    <t>Vermont</t>
  </si>
  <si>
    <t>Illinois</t>
  </si>
  <si>
    <t>Michigan</t>
  </si>
  <si>
    <t>North Dakota</t>
  </si>
  <si>
    <t>Indiana</t>
  </si>
  <si>
    <t>Minnesota</t>
  </si>
  <si>
    <t>Ohio</t>
  </si>
  <si>
    <t>Iowa</t>
  </si>
  <si>
    <t>Missouri</t>
  </si>
  <si>
    <t>South Dakota</t>
  </si>
  <si>
    <t>Kansas</t>
  </si>
  <si>
    <t>Nebraska</t>
  </si>
  <si>
    <t>Wisconsin</t>
  </si>
  <si>
    <t>over 5</t>
  </si>
  <si>
    <t>Add $75 for each additional member up to a family of 7.</t>
  </si>
  <si>
    <t>Alabama</t>
  </si>
  <si>
    <t>Kentucky</t>
  </si>
  <si>
    <t>Puerto Rico</t>
  </si>
  <si>
    <t>Arkansas</t>
  </si>
  <si>
    <t>Louisiana</t>
  </si>
  <si>
    <t>South Carolina</t>
  </si>
  <si>
    <t>Delaware</t>
  </si>
  <si>
    <t>Maryland</t>
  </si>
  <si>
    <t>Tennessee</t>
  </si>
  <si>
    <t>For loan amounts of $80,000 and above</t>
  </si>
  <si>
    <t>District of Columbia</t>
  </si>
  <si>
    <t>Mississippi</t>
  </si>
  <si>
    <t>Texas</t>
  </si>
  <si>
    <t>Florida</t>
  </si>
  <si>
    <t>North Carolina</t>
  </si>
  <si>
    <t>Virginia</t>
  </si>
  <si>
    <t>Georgia</t>
  </si>
  <si>
    <t>Oklahoma</t>
  </si>
  <si>
    <t>West Virginia</t>
  </si>
  <si>
    <t>Alaska</t>
  </si>
  <si>
    <t>Hawaii</t>
  </si>
  <si>
    <t>New Mexico</t>
  </si>
  <si>
    <t>Arizona</t>
  </si>
  <si>
    <t>Idaho</t>
  </si>
  <si>
    <t>Oregon</t>
  </si>
  <si>
    <t>California</t>
  </si>
  <si>
    <t>Montana</t>
  </si>
  <si>
    <t>Utah</t>
  </si>
  <si>
    <t>Colorado</t>
  </si>
  <si>
    <t>Nevada</t>
  </si>
  <si>
    <t>Washington</t>
  </si>
  <si>
    <t>Add $80 for each additional member up to a family of 7.</t>
  </si>
  <si>
    <t>Wyoming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</si>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</sst>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1" xfId="0" applyFill="1" applyBorder="1"/>
    <xf numFmtId="9" fontId="1" fillId="0" borderId="1" xfId="2" applyBorder="1"/>
    <xf numFmtId="44" fontId="1" fillId="0" borderId="0" xfId="1"/>
    <xf numFmtId="44" fontId="1" fillId="0" borderId="1" xfId="1" applyBorder="1"/>
    <xf numFmtId="0" fontId="2" fillId="0" borderId="1" xfId="0" applyFont="1" applyBorder="1"/>
    <xf numFmtId="0" fontId="0" fillId="0" borderId="1" xfId="0" applyBorder="1"/>
    <xf numFmtId="9" fontId="1" fillId="0" borderId="0" xfId="2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7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5</xdr:col>
      <xdr:colOff>167922</xdr:colOff>
      <xdr:row>52</xdr:row>
      <xdr:rowOff>108655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713B3041-F009-4A44-9B44-22E9F5CF5231}"/>
            </a:ext>
          </a:extLst>
        </xdr:cNvPr>
        <xdr:cNvSpPr txBox="1">
          <a:spLocks noChangeArrowheads="1"/>
        </xdr:cNvSpPr>
      </xdr:nvSpPr>
      <xdr:spPr bwMode="auto">
        <a:xfrm>
          <a:off x="381000" y="7620000"/>
          <a:ext cx="6543322" cy="23946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VA Income Guidelines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- Present and anticipated income of a VA loan applicant can be determined adequate by two considerations:  residual income and the debt-to-income ratio.  If a loan analysis indicates that one guideline will not be met, it may still be possible to use the other guideline to counterbalance the shortcoming.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charset="0"/>
            <a:cs typeface="Arial" charset="0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Credit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- Applicant must have a minimum of 12 months (preferably 2 years) paid-as-agreed credit.  Two years of satisfactory credit following Chapter 7 bankruptcy.  Satisfactory payment for 12 months following Chapter 13 bankruptcy and Trustee or Bankruptcy Judge approval of the new credit.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charset="0"/>
            <a:cs typeface="Arial" charset="0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Employment Stability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- Evidence of two years employment with current employer.  If less than two years, verify prior employment plus present employment covering a total of two years.  For self-employment to be considered stable, applicant must have been in business at least two years.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/>
  </sheetViews>
  <sheetFormatPr baseColWidth="10" defaultColWidth="8.6640625" defaultRowHeight="15" x14ac:dyDescent="0.2"/>
  <cols>
    <col min="1" max="1" width="8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2" spans="1:1" x14ac:dyDescent="0.2">
      <c r="A22" t="s">
        <v>14</v>
      </c>
    </row>
    <row r="24" spans="1:1" x14ac:dyDescent="0.2">
      <c r="A24" t="s">
        <v>15</v>
      </c>
    </row>
    <row r="25" spans="1:1" x14ac:dyDescent="0.2">
      <c r="A25" t="s">
        <v>16</v>
      </c>
    </row>
    <row r="26" spans="1:1" x14ac:dyDescent="0.2">
      <c r="A26" t="s">
        <v>17</v>
      </c>
    </row>
    <row r="28" spans="1:1" x14ac:dyDescent="0.2">
      <c r="A28" t="s">
        <v>18</v>
      </c>
    </row>
    <row r="29" spans="1:1" x14ac:dyDescent="0.2">
      <c r="A29" t="s">
        <v>19</v>
      </c>
    </row>
    <row r="30" spans="1:1" x14ac:dyDescent="0.2">
      <c r="A30" t="s">
        <v>20</v>
      </c>
    </row>
    <row r="32" spans="1:1" x14ac:dyDescent="0.2">
      <c r="A32" t="s">
        <v>21</v>
      </c>
    </row>
    <row r="33" spans="1:1" x14ac:dyDescent="0.2">
      <c r="A33" t="s">
        <v>22</v>
      </c>
    </row>
    <row r="34" spans="1:1" x14ac:dyDescent="0.2">
      <c r="A3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topLeftCell="A13" zoomScaleNormal="100" workbookViewId="0">
      <selection activeCell="J45" sqref="J45"/>
    </sheetView>
  </sheetViews>
  <sheetFormatPr baseColWidth="10" defaultColWidth="8.6640625" defaultRowHeight="15" x14ac:dyDescent="0.2"/>
  <cols>
    <col min="1" max="1" width="5" customWidth="1"/>
    <col min="2" max="2" width="45" customWidth="1"/>
    <col min="3" max="3" width="15" customWidth="1"/>
    <col min="4" max="4" width="15" style="4" customWidth="1"/>
  </cols>
  <sheetData>
    <row r="1" spans="1:4" x14ac:dyDescent="0.2">
      <c r="A1" s="1" t="s">
        <v>24</v>
      </c>
    </row>
    <row r="2" spans="1:4" x14ac:dyDescent="0.2">
      <c r="B2" t="s">
        <v>25</v>
      </c>
      <c r="C2" s="2" t="s">
        <v>132</v>
      </c>
    </row>
    <row r="4" spans="1:4" x14ac:dyDescent="0.2">
      <c r="B4" t="s">
        <v>26</v>
      </c>
      <c r="C4" s="2">
        <v>3</v>
      </c>
    </row>
    <row r="6" spans="1:4" x14ac:dyDescent="0.2">
      <c r="B6" t="s">
        <v>27</v>
      </c>
      <c r="C6" s="2">
        <v>150000</v>
      </c>
    </row>
    <row r="8" spans="1:4" x14ac:dyDescent="0.2">
      <c r="B8" s="1" t="s">
        <v>28</v>
      </c>
      <c r="C8" s="2">
        <v>10000</v>
      </c>
    </row>
    <row r="9" spans="1:4" x14ac:dyDescent="0.2">
      <c r="A9" t="s">
        <v>29</v>
      </c>
      <c r="D9" s="4">
        <f>C8</f>
        <v>10000</v>
      </c>
    </row>
    <row r="10" spans="1:4" x14ac:dyDescent="0.2">
      <c r="B10" s="1" t="s">
        <v>30</v>
      </c>
    </row>
    <row r="11" spans="1:4" x14ac:dyDescent="0.2">
      <c r="B11" t="s">
        <v>31</v>
      </c>
      <c r="C11" s="3">
        <v>0.05</v>
      </c>
    </row>
    <row r="12" spans="1:4" x14ac:dyDescent="0.2">
      <c r="B12" t="s">
        <v>32</v>
      </c>
      <c r="C12" s="2">
        <v>5.38</v>
      </c>
    </row>
    <row r="13" spans="1:4" x14ac:dyDescent="0.2">
      <c r="B13" t="s">
        <v>33</v>
      </c>
      <c r="C13" s="4">
        <f>C6*C12/1000</f>
        <v>807</v>
      </c>
    </row>
    <row r="14" spans="1:4" x14ac:dyDescent="0.2">
      <c r="B14" t="s">
        <v>34</v>
      </c>
      <c r="C14" s="5">
        <v>100</v>
      </c>
    </row>
    <row r="15" spans="1:4" x14ac:dyDescent="0.2">
      <c r="B15" t="s">
        <v>35</v>
      </c>
      <c r="C15" s="5">
        <v>50</v>
      </c>
    </row>
    <row r="16" spans="1:4" x14ac:dyDescent="0.2">
      <c r="B16" t="s">
        <v>36</v>
      </c>
      <c r="C16" s="5">
        <v>25</v>
      </c>
    </row>
    <row r="17" spans="1:4" x14ac:dyDescent="0.2">
      <c r="A17" t="s">
        <v>37</v>
      </c>
      <c r="C17" t="s">
        <v>38</v>
      </c>
      <c r="D17" s="4">
        <f>SUM(C13:C16)</f>
        <v>982</v>
      </c>
    </row>
    <row r="18" spans="1:4" x14ac:dyDescent="0.2">
      <c r="B18" s="1" t="s">
        <v>39</v>
      </c>
    </row>
    <row r="19" spans="1:4" x14ac:dyDescent="0.2">
      <c r="B19" t="s">
        <v>40</v>
      </c>
      <c r="C19" s="5">
        <v>150</v>
      </c>
    </row>
    <row r="20" spans="1:4" x14ac:dyDescent="0.2">
      <c r="B20" t="s">
        <v>41</v>
      </c>
      <c r="C20" s="5">
        <v>150</v>
      </c>
    </row>
    <row r="21" spans="1:4" x14ac:dyDescent="0.2">
      <c r="B21" t="s">
        <v>42</v>
      </c>
      <c r="C21" s="5">
        <v>125</v>
      </c>
    </row>
    <row r="22" spans="1:4" x14ac:dyDescent="0.2">
      <c r="B22" t="s">
        <v>43</v>
      </c>
      <c r="C22" s="5">
        <v>250</v>
      </c>
    </row>
    <row r="23" spans="1:4" x14ac:dyDescent="0.2">
      <c r="B23" t="s">
        <v>44</v>
      </c>
      <c r="C23" s="5">
        <v>500</v>
      </c>
    </row>
    <row r="24" spans="1:4" x14ac:dyDescent="0.2">
      <c r="A24" t="s">
        <v>45</v>
      </c>
      <c r="C24" t="s">
        <v>38</v>
      </c>
      <c r="D24" s="4">
        <f>SUM(C19:C23)</f>
        <v>1175</v>
      </c>
    </row>
    <row r="25" spans="1:4" x14ac:dyDescent="0.2">
      <c r="B25" s="1" t="s">
        <v>46</v>
      </c>
    </row>
    <row r="26" spans="1:4" x14ac:dyDescent="0.2">
      <c r="B26" t="s">
        <v>47</v>
      </c>
      <c r="C26" s="2">
        <v>1900</v>
      </c>
    </row>
    <row r="27" spans="1:4" x14ac:dyDescent="0.2">
      <c r="B27" t="s">
        <v>48</v>
      </c>
      <c r="C27" s="4">
        <f>C26*0.14</f>
        <v>266</v>
      </c>
    </row>
    <row r="28" spans="1:4" x14ac:dyDescent="0.2">
      <c r="A28" t="s">
        <v>49</v>
      </c>
      <c r="C28" t="s">
        <v>38</v>
      </c>
      <c r="D28" s="4">
        <f>C27</f>
        <v>266</v>
      </c>
    </row>
    <row r="29" spans="1:4" x14ac:dyDescent="0.2">
      <c r="B29" s="1" t="s">
        <v>50</v>
      </c>
    </row>
    <row r="30" spans="1:4" x14ac:dyDescent="0.2">
      <c r="B30" t="s">
        <v>51</v>
      </c>
      <c r="C30" s="5">
        <v>25000</v>
      </c>
    </row>
    <row r="31" spans="1:4" x14ac:dyDescent="0.2">
      <c r="B31" t="s">
        <v>52</v>
      </c>
      <c r="C31" s="5">
        <v>6000</v>
      </c>
    </row>
    <row r="32" spans="1:4" x14ac:dyDescent="0.2">
      <c r="B32" t="s">
        <v>53</v>
      </c>
      <c r="C32" s="5">
        <v>1500</v>
      </c>
    </row>
    <row r="33" spans="1:4" x14ac:dyDescent="0.2">
      <c r="A33" t="s">
        <v>54</v>
      </c>
      <c r="C33" t="s">
        <v>38</v>
      </c>
      <c r="D33" s="4">
        <f>SUM(C30:C32)</f>
        <v>32500</v>
      </c>
    </row>
    <row r="34" spans="1:4" x14ac:dyDescent="0.2">
      <c r="B34" s="1" t="s">
        <v>55</v>
      </c>
    </row>
    <row r="35" spans="1:4" x14ac:dyDescent="0.2">
      <c r="B35" t="s">
        <v>56</v>
      </c>
      <c r="C35" s="5">
        <v>2000</v>
      </c>
    </row>
    <row r="36" spans="1:4" x14ac:dyDescent="0.2">
      <c r="B36" t="s">
        <v>57</v>
      </c>
      <c r="D36" s="4">
        <f>D9-SUM(D17:D33)</f>
        <v>-24923</v>
      </c>
    </row>
    <row r="38" spans="1:4" x14ac:dyDescent="0.2">
      <c r="B38" s="1" t="s">
        <v>58</v>
      </c>
    </row>
    <row r="39" spans="1:4" x14ac:dyDescent="0.2">
      <c r="B39" t="s">
        <v>59</v>
      </c>
      <c r="D39" s="8">
        <f>SUM(D17:D24)/D9</f>
        <v>0.2157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abSelected="1" topLeftCell="A10" zoomScaleNormal="100" workbookViewId="0">
      <selection activeCell="I40" sqref="I40"/>
    </sheetView>
  </sheetViews>
  <sheetFormatPr baseColWidth="10" defaultColWidth="8.6640625" defaultRowHeight="15" x14ac:dyDescent="0.2"/>
  <cols>
    <col min="1" max="1" width="10" customWidth="1"/>
    <col min="3" max="3" width="10" customWidth="1"/>
    <col min="5" max="5" width="10" customWidth="1"/>
    <col min="7" max="7" width="10" customWidth="1"/>
    <col min="9" max="9" width="10" customWidth="1"/>
    <col min="11" max="11" width="10" customWidth="1"/>
    <col min="13" max="13" width="10" customWidth="1"/>
    <col min="15" max="15" width="10" customWidth="1"/>
  </cols>
  <sheetData>
    <row r="1" spans="1:15" x14ac:dyDescent="0.2">
      <c r="A1" s="1" t="s">
        <v>60</v>
      </c>
    </row>
    <row r="2" spans="1:15" x14ac:dyDescent="0.2">
      <c r="A2" t="s">
        <v>61</v>
      </c>
    </row>
    <row r="3" spans="1:15" ht="16" thickBot="1" x14ac:dyDescent="0.25"/>
    <row r="4" spans="1:15" x14ac:dyDescent="0.2">
      <c r="A4" s="9" t="s">
        <v>62</v>
      </c>
      <c r="B4" s="10"/>
      <c r="C4" s="10" t="s">
        <v>63</v>
      </c>
      <c r="D4" s="10"/>
      <c r="E4" s="10" t="s">
        <v>64</v>
      </c>
      <c r="F4" s="10"/>
      <c r="G4" s="11" t="s">
        <v>65</v>
      </c>
      <c r="I4" s="9" t="s">
        <v>62</v>
      </c>
      <c r="J4" s="10"/>
      <c r="K4" s="10" t="s">
        <v>63</v>
      </c>
      <c r="L4" s="10"/>
      <c r="M4" s="10" t="s">
        <v>64</v>
      </c>
      <c r="N4" s="10"/>
      <c r="O4" s="11" t="s">
        <v>65</v>
      </c>
    </row>
    <row r="5" spans="1:15" ht="16" thickBot="1" x14ac:dyDescent="0.25">
      <c r="A5" s="19" t="s">
        <v>66</v>
      </c>
      <c r="B5" s="17"/>
      <c r="C5" s="17" t="s">
        <v>67</v>
      </c>
      <c r="D5" s="17"/>
      <c r="E5" s="17" t="s">
        <v>67</v>
      </c>
      <c r="F5" s="17"/>
      <c r="G5" s="18" t="s">
        <v>67</v>
      </c>
      <c r="I5" s="19" t="s">
        <v>66</v>
      </c>
      <c r="J5" s="17"/>
      <c r="K5" s="17" t="s">
        <v>67</v>
      </c>
      <c r="L5" s="17"/>
      <c r="M5" s="17" t="s">
        <v>67</v>
      </c>
      <c r="N5" s="17"/>
      <c r="O5" s="18" t="s">
        <v>67</v>
      </c>
    </row>
    <row r="6" spans="1:15" x14ac:dyDescent="0.2">
      <c r="A6" s="12"/>
      <c r="B6" s="13"/>
      <c r="C6" s="13"/>
      <c r="D6" s="13"/>
      <c r="E6" s="13"/>
      <c r="F6" s="13"/>
      <c r="G6" s="14"/>
      <c r="I6" s="9"/>
      <c r="J6" s="10"/>
      <c r="K6" s="10"/>
      <c r="L6" s="10"/>
      <c r="M6" s="10"/>
      <c r="N6" s="10"/>
      <c r="O6" s="11"/>
    </row>
    <row r="7" spans="1:15" x14ac:dyDescent="0.2">
      <c r="A7" s="15">
        <v>0.04</v>
      </c>
      <c r="B7" s="13"/>
      <c r="C7" s="13">
        <v>7.4</v>
      </c>
      <c r="D7" s="13"/>
      <c r="E7" s="13">
        <v>6.06</v>
      </c>
      <c r="F7" s="13"/>
      <c r="G7" s="14">
        <v>4.7699999999999996</v>
      </c>
      <c r="I7" s="15">
        <v>6.8750000000000006E-2</v>
      </c>
      <c r="J7" s="13"/>
      <c r="K7" s="13">
        <v>8.92</v>
      </c>
      <c r="L7" s="13"/>
      <c r="M7" s="13">
        <v>7.68</v>
      </c>
      <c r="N7" s="13"/>
      <c r="O7" s="14">
        <v>6.57</v>
      </c>
    </row>
    <row r="8" spans="1:15" x14ac:dyDescent="0.2">
      <c r="A8" s="15">
        <v>4.1250000000000002E-2</v>
      </c>
      <c r="B8" s="13"/>
      <c r="C8" s="13">
        <v>7.46</v>
      </c>
      <c r="D8" s="13"/>
      <c r="E8" s="13">
        <v>6.13</v>
      </c>
      <c r="F8" s="13"/>
      <c r="G8" s="14">
        <v>4.8499999999999996</v>
      </c>
      <c r="I8" s="15">
        <v>7.0000000000000007E-2</v>
      </c>
      <c r="J8" s="13"/>
      <c r="K8" s="13">
        <v>8.99</v>
      </c>
      <c r="L8" s="13"/>
      <c r="M8" s="13">
        <v>7.75</v>
      </c>
      <c r="N8" s="13"/>
      <c r="O8" s="14">
        <v>6.65</v>
      </c>
    </row>
    <row r="9" spans="1:15" x14ac:dyDescent="0.2">
      <c r="A9" s="15">
        <v>4.2500000000000003E-2</v>
      </c>
      <c r="B9" s="13"/>
      <c r="C9" s="13">
        <v>7.52</v>
      </c>
      <c r="D9" s="13"/>
      <c r="E9" s="13">
        <v>6.19</v>
      </c>
      <c r="F9" s="13"/>
      <c r="G9" s="14">
        <v>4.92</v>
      </c>
      <c r="I9" s="15">
        <v>7.1249999999999994E-2</v>
      </c>
      <c r="J9" s="13"/>
      <c r="K9" s="13">
        <v>9.06</v>
      </c>
      <c r="L9" s="13"/>
      <c r="M9" s="13">
        <v>7.83</v>
      </c>
      <c r="N9" s="13"/>
      <c r="O9" s="14">
        <v>6.74</v>
      </c>
    </row>
    <row r="10" spans="1:15" x14ac:dyDescent="0.2">
      <c r="A10" s="15">
        <v>4.3749999999999997E-2</v>
      </c>
      <c r="B10" s="13"/>
      <c r="C10" s="13">
        <v>7.59</v>
      </c>
      <c r="D10" s="13"/>
      <c r="E10" s="13">
        <v>6.26</v>
      </c>
      <c r="F10" s="13"/>
      <c r="G10" s="14">
        <v>4.99</v>
      </c>
      <c r="I10" s="15">
        <v>7.2499999999999995E-2</v>
      </c>
      <c r="J10" s="13"/>
      <c r="K10" s="13">
        <v>9.1300000000000008</v>
      </c>
      <c r="L10" s="13"/>
      <c r="M10" s="13">
        <v>7.9</v>
      </c>
      <c r="N10" s="13"/>
      <c r="O10" s="14">
        <v>6.82</v>
      </c>
    </row>
    <row r="11" spans="1:15" x14ac:dyDescent="0.2">
      <c r="A11" s="15">
        <v>4.4999999999999998E-2</v>
      </c>
      <c r="B11" s="13"/>
      <c r="C11" s="13">
        <v>7.65</v>
      </c>
      <c r="D11" s="13"/>
      <c r="E11" s="13">
        <v>6.33</v>
      </c>
      <c r="F11" s="13"/>
      <c r="G11" s="14">
        <v>5.07</v>
      </c>
      <c r="I11" s="15">
        <v>7.3749999999999996E-2</v>
      </c>
      <c r="J11" s="13"/>
      <c r="K11" s="13">
        <v>9.1999999999999993</v>
      </c>
      <c r="L11" s="13"/>
      <c r="M11" s="13">
        <v>7.98</v>
      </c>
      <c r="N11" s="13"/>
      <c r="O11" s="14">
        <v>6.91</v>
      </c>
    </row>
    <row r="12" spans="1:15" x14ac:dyDescent="0.2">
      <c r="A12" s="15">
        <v>4.6249999999999999E-2</v>
      </c>
      <c r="B12" s="13"/>
      <c r="C12" s="13">
        <v>7.71</v>
      </c>
      <c r="D12" s="13"/>
      <c r="E12" s="13">
        <v>6.39</v>
      </c>
      <c r="F12" s="13"/>
      <c r="G12" s="14">
        <v>5.14</v>
      </c>
      <c r="I12" s="15">
        <v>7.4999999999999997E-2</v>
      </c>
      <c r="J12" s="13"/>
      <c r="K12" s="13">
        <v>9.27</v>
      </c>
      <c r="L12" s="13"/>
      <c r="M12" s="13">
        <v>8.06</v>
      </c>
      <c r="N12" s="13"/>
      <c r="O12" s="14">
        <v>6.99</v>
      </c>
    </row>
    <row r="13" spans="1:15" x14ac:dyDescent="0.2">
      <c r="A13" s="15">
        <v>4.7500000000000001E-2</v>
      </c>
      <c r="B13" s="13"/>
      <c r="C13" s="13">
        <v>7.78</v>
      </c>
      <c r="D13" s="13"/>
      <c r="E13" s="13">
        <v>6.46</v>
      </c>
      <c r="F13" s="13"/>
      <c r="G13" s="14">
        <v>5.22</v>
      </c>
      <c r="I13" s="15">
        <v>7.6249999999999998E-2</v>
      </c>
      <c r="J13" s="13"/>
      <c r="K13" s="13">
        <v>9.34</v>
      </c>
      <c r="L13" s="13"/>
      <c r="M13" s="13">
        <v>8.1300000000000008</v>
      </c>
      <c r="N13" s="13"/>
      <c r="O13" s="14">
        <v>7.08</v>
      </c>
    </row>
    <row r="14" spans="1:15" x14ac:dyDescent="0.2">
      <c r="A14" s="15">
        <v>4.8750000000000002E-2</v>
      </c>
      <c r="B14" s="13"/>
      <c r="C14" s="13">
        <v>7.84</v>
      </c>
      <c r="D14" s="13"/>
      <c r="E14" s="13">
        <v>6.53</v>
      </c>
      <c r="F14" s="13"/>
      <c r="G14" s="14">
        <v>5.29</v>
      </c>
      <c r="I14" s="15">
        <v>7.7499999999999999E-2</v>
      </c>
      <c r="J14" s="13"/>
      <c r="K14" s="13">
        <v>9.41</v>
      </c>
      <c r="L14" s="13"/>
      <c r="M14" s="13">
        <v>8.2100000000000009</v>
      </c>
      <c r="N14" s="13"/>
      <c r="O14" s="14">
        <v>7.16</v>
      </c>
    </row>
    <row r="15" spans="1:15" x14ac:dyDescent="0.2">
      <c r="A15" s="15">
        <v>0.05</v>
      </c>
      <c r="B15" s="13"/>
      <c r="C15" s="13">
        <v>7.91</v>
      </c>
      <c r="D15" s="13"/>
      <c r="E15" s="13">
        <v>6.6</v>
      </c>
      <c r="F15" s="13"/>
      <c r="G15" s="14">
        <v>5.37</v>
      </c>
      <c r="I15" s="15">
        <v>7.8750000000000001E-2</v>
      </c>
      <c r="J15" s="13"/>
      <c r="K15" s="13">
        <v>9.48</v>
      </c>
      <c r="L15" s="13"/>
      <c r="M15" s="13">
        <v>8.2899999999999991</v>
      </c>
      <c r="N15" s="13"/>
      <c r="O15" s="14">
        <v>7.25</v>
      </c>
    </row>
    <row r="16" spans="1:15" x14ac:dyDescent="0.2">
      <c r="A16" s="15">
        <v>5.1249999999999997E-2</v>
      </c>
      <c r="B16" s="13"/>
      <c r="C16" s="13">
        <v>7.97</v>
      </c>
      <c r="D16" s="13"/>
      <c r="E16" s="13">
        <v>6.67</v>
      </c>
      <c r="F16" s="13"/>
      <c r="G16" s="14">
        <v>5.44</v>
      </c>
      <c r="I16" s="15">
        <v>0.08</v>
      </c>
      <c r="J16" s="13"/>
      <c r="K16" s="13">
        <v>9.56</v>
      </c>
      <c r="L16" s="13"/>
      <c r="M16" s="13">
        <v>8.36</v>
      </c>
      <c r="N16" s="13"/>
      <c r="O16" s="14">
        <v>7.34</v>
      </c>
    </row>
    <row r="17" spans="1:15" x14ac:dyDescent="0.2">
      <c r="A17" s="15">
        <v>5.2499999999999998E-2</v>
      </c>
      <c r="B17" s="13"/>
      <c r="C17" s="13">
        <v>8.0399999999999991</v>
      </c>
      <c r="D17" s="13"/>
      <c r="E17" s="13">
        <v>6.74</v>
      </c>
      <c r="F17" s="13"/>
      <c r="G17" s="14">
        <v>5.52</v>
      </c>
      <c r="I17" s="15">
        <v>8.1250000000000003E-2</v>
      </c>
      <c r="J17" s="13"/>
      <c r="K17" s="13">
        <v>9.6300000000000008</v>
      </c>
      <c r="L17" s="13"/>
      <c r="M17" s="13">
        <v>8.44</v>
      </c>
      <c r="N17" s="13"/>
      <c r="O17" s="14">
        <v>7.42</v>
      </c>
    </row>
    <row r="18" spans="1:15" x14ac:dyDescent="0.2">
      <c r="A18" s="15">
        <v>5.3749999999999999E-2</v>
      </c>
      <c r="B18" s="13"/>
      <c r="C18" s="13">
        <v>8.1</v>
      </c>
      <c r="D18" s="13"/>
      <c r="E18" s="13">
        <v>6.81</v>
      </c>
      <c r="F18" s="13"/>
      <c r="G18" s="14">
        <v>5.6</v>
      </c>
      <c r="I18" s="15">
        <v>8.2500000000000004E-2</v>
      </c>
      <c r="J18" s="13"/>
      <c r="K18" s="13">
        <v>9.6999999999999993</v>
      </c>
      <c r="L18" s="13"/>
      <c r="M18" s="13">
        <v>8.52</v>
      </c>
      <c r="N18" s="13"/>
      <c r="O18" s="14">
        <v>7.51</v>
      </c>
    </row>
    <row r="19" spans="1:15" x14ac:dyDescent="0.2">
      <c r="A19" s="15">
        <v>5.5E-2</v>
      </c>
      <c r="B19" s="13"/>
      <c r="C19" s="13">
        <v>8.17</v>
      </c>
      <c r="D19" s="13"/>
      <c r="E19" s="13">
        <v>6.88</v>
      </c>
      <c r="F19" s="13"/>
      <c r="G19" s="14">
        <v>5.68</v>
      </c>
      <c r="I19" s="15">
        <v>8.3750000000000005E-2</v>
      </c>
      <c r="J19" s="13"/>
      <c r="K19" s="13">
        <v>9.77</v>
      </c>
      <c r="L19" s="13"/>
      <c r="M19" s="13">
        <v>8.6</v>
      </c>
      <c r="N19" s="13"/>
      <c r="O19" s="14">
        <v>7.6</v>
      </c>
    </row>
    <row r="20" spans="1:15" x14ac:dyDescent="0.2">
      <c r="A20" s="15">
        <v>5.6250000000000001E-2</v>
      </c>
      <c r="B20" s="13"/>
      <c r="C20" s="13">
        <v>8.24</v>
      </c>
      <c r="D20" s="13"/>
      <c r="E20" s="13">
        <v>6.95</v>
      </c>
      <c r="F20" s="13"/>
      <c r="G20" s="14">
        <v>5.76</v>
      </c>
      <c r="I20" s="15">
        <v>8.5000000000000006E-2</v>
      </c>
      <c r="J20" s="13"/>
      <c r="K20" s="13">
        <v>9.85</v>
      </c>
      <c r="L20" s="13"/>
      <c r="M20" s="13">
        <v>8.68</v>
      </c>
      <c r="N20" s="13"/>
      <c r="O20" s="14">
        <v>7.69</v>
      </c>
    </row>
    <row r="21" spans="1:15" x14ac:dyDescent="0.2">
      <c r="A21" s="15">
        <v>5.7500000000000002E-2</v>
      </c>
      <c r="B21" s="13"/>
      <c r="C21" s="13">
        <v>8.3000000000000007</v>
      </c>
      <c r="D21" s="13"/>
      <c r="E21" s="13">
        <v>7.02</v>
      </c>
      <c r="F21" s="13"/>
      <c r="G21" s="14">
        <v>5.84</v>
      </c>
      <c r="I21" s="15">
        <v>8.6249999999999993E-2</v>
      </c>
      <c r="J21" s="13"/>
      <c r="K21" s="13">
        <v>9.92</v>
      </c>
      <c r="L21" s="13"/>
      <c r="M21" s="13">
        <v>8.76</v>
      </c>
      <c r="N21" s="13"/>
      <c r="O21" s="14">
        <v>7.78</v>
      </c>
    </row>
    <row r="22" spans="1:15" x14ac:dyDescent="0.2">
      <c r="A22" s="15">
        <v>5.8749999999999997E-2</v>
      </c>
      <c r="B22" s="13"/>
      <c r="C22" s="13">
        <v>8.3699999999999992</v>
      </c>
      <c r="D22" s="13"/>
      <c r="E22" s="13">
        <v>7.09</v>
      </c>
      <c r="F22" s="13"/>
      <c r="G22" s="14">
        <v>5.92</v>
      </c>
      <c r="I22" s="15">
        <v>8.7499999999999994E-2</v>
      </c>
      <c r="J22" s="13"/>
      <c r="K22" s="13">
        <v>9.99</v>
      </c>
      <c r="L22" s="13"/>
      <c r="M22" s="13">
        <v>8.84</v>
      </c>
      <c r="N22" s="13"/>
      <c r="O22" s="14">
        <v>7.87</v>
      </c>
    </row>
    <row r="23" spans="1:15" x14ac:dyDescent="0.2">
      <c r="A23" s="15">
        <v>0.06</v>
      </c>
      <c r="B23" s="13"/>
      <c r="C23" s="13">
        <v>8.44</v>
      </c>
      <c r="D23" s="13"/>
      <c r="E23" s="13">
        <v>7.16</v>
      </c>
      <c r="F23" s="13"/>
      <c r="G23" s="14">
        <v>6</v>
      </c>
      <c r="I23" s="15">
        <v>8.8749999999999996E-2</v>
      </c>
      <c r="J23" s="13"/>
      <c r="K23" s="13">
        <v>10.07</v>
      </c>
      <c r="L23" s="13"/>
      <c r="M23" s="13">
        <v>8.92</v>
      </c>
      <c r="N23" s="13"/>
      <c r="O23" s="14">
        <v>7.96</v>
      </c>
    </row>
    <row r="24" spans="1:15" x14ac:dyDescent="0.2">
      <c r="A24" s="15">
        <v>6.1249999999999999E-2</v>
      </c>
      <c r="B24" s="13"/>
      <c r="C24" s="13">
        <v>8.51</v>
      </c>
      <c r="D24" s="13"/>
      <c r="E24" s="13">
        <v>7.24</v>
      </c>
      <c r="F24" s="13"/>
      <c r="G24" s="14">
        <v>6.08</v>
      </c>
      <c r="I24" s="15">
        <v>0.09</v>
      </c>
      <c r="J24" s="13"/>
      <c r="K24" s="13">
        <v>10.14</v>
      </c>
      <c r="L24" s="13"/>
      <c r="M24" s="13">
        <v>9</v>
      </c>
      <c r="N24" s="13"/>
      <c r="O24" s="14">
        <v>8.0500000000000007</v>
      </c>
    </row>
    <row r="25" spans="1:15" x14ac:dyDescent="0.2">
      <c r="A25" s="15">
        <v>6.25E-2</v>
      </c>
      <c r="B25" s="13"/>
      <c r="C25" s="13">
        <v>8.57</v>
      </c>
      <c r="D25" s="13"/>
      <c r="E25" s="13">
        <v>7.31</v>
      </c>
      <c r="F25" s="13"/>
      <c r="G25" s="14">
        <v>6.16</v>
      </c>
      <c r="I25" s="15">
        <v>9.1249999999999998E-2</v>
      </c>
      <c r="J25" s="13"/>
      <c r="K25" s="13">
        <v>10.220000000000001</v>
      </c>
      <c r="L25" s="13"/>
      <c r="M25" s="13">
        <v>9.08</v>
      </c>
      <c r="N25" s="13"/>
      <c r="O25" s="14">
        <v>8.14</v>
      </c>
    </row>
    <row r="26" spans="1:15" x14ac:dyDescent="0.2">
      <c r="A26" s="15">
        <v>6.3750000000000001E-2</v>
      </c>
      <c r="B26" s="13"/>
      <c r="C26" s="13">
        <v>8.64</v>
      </c>
      <c r="D26" s="13"/>
      <c r="E26" s="13">
        <v>7.38</v>
      </c>
      <c r="F26" s="13"/>
      <c r="G26" s="14">
        <v>6.24</v>
      </c>
      <c r="I26" s="15">
        <v>9.2499999999999999E-2</v>
      </c>
      <c r="J26" s="13"/>
      <c r="K26" s="13">
        <v>10.29</v>
      </c>
      <c r="L26" s="13"/>
      <c r="M26" s="13">
        <v>9.16</v>
      </c>
      <c r="N26" s="13"/>
      <c r="O26" s="14">
        <v>8.23</v>
      </c>
    </row>
    <row r="27" spans="1:15" x14ac:dyDescent="0.2">
      <c r="A27" s="15">
        <v>6.5000000000000002E-2</v>
      </c>
      <c r="B27" s="13"/>
      <c r="C27" s="13">
        <v>8.7100000000000009</v>
      </c>
      <c r="D27" s="13"/>
      <c r="E27" s="13">
        <v>7.46</v>
      </c>
      <c r="F27" s="13"/>
      <c r="G27" s="14">
        <v>6.32</v>
      </c>
      <c r="I27" s="15">
        <v>9.375E-2</v>
      </c>
      <c r="J27" s="13"/>
      <c r="K27" s="13">
        <v>10.37</v>
      </c>
      <c r="L27" s="13"/>
      <c r="M27" s="13">
        <v>9.24</v>
      </c>
      <c r="N27" s="13"/>
      <c r="O27" s="14">
        <v>8.32</v>
      </c>
    </row>
    <row r="28" spans="1:15" x14ac:dyDescent="0.2">
      <c r="A28" s="15">
        <v>6.6250000000000003E-2</v>
      </c>
      <c r="B28" s="13"/>
      <c r="C28" s="13">
        <v>8.7799999999999994</v>
      </c>
      <c r="D28" s="13"/>
      <c r="E28" s="13">
        <v>7.53</v>
      </c>
      <c r="F28" s="13"/>
      <c r="G28" s="14">
        <v>6.4</v>
      </c>
      <c r="I28" s="15">
        <v>9.5000000000000001E-2</v>
      </c>
      <c r="J28" s="13"/>
      <c r="K28" s="13">
        <v>10.44</v>
      </c>
      <c r="L28" s="13"/>
      <c r="M28" s="13">
        <v>9.32</v>
      </c>
      <c r="N28" s="13"/>
      <c r="O28" s="14">
        <v>8.41</v>
      </c>
    </row>
    <row r="29" spans="1:15" ht="16" thickBot="1" x14ac:dyDescent="0.25">
      <c r="A29" s="16">
        <v>6.7500000000000004E-2</v>
      </c>
      <c r="B29" s="17"/>
      <c r="C29" s="17">
        <v>8.85</v>
      </c>
      <c r="D29" s="17"/>
      <c r="E29" s="17">
        <v>7.6</v>
      </c>
      <c r="F29" s="17"/>
      <c r="G29" s="18">
        <v>6.49</v>
      </c>
      <c r="I29" s="19"/>
      <c r="J29" s="17"/>
      <c r="K29" s="17"/>
      <c r="L29" s="17"/>
      <c r="M29" s="17"/>
      <c r="N29" s="17"/>
      <c r="O29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Normal="100" workbookViewId="0">
      <selection activeCell="C30" sqref="C30"/>
    </sheetView>
  </sheetViews>
  <sheetFormatPr baseColWidth="10" defaultColWidth="8.6640625" defaultRowHeight="15" x14ac:dyDescent="0.2"/>
  <cols>
    <col min="1" max="1" width="32.5" bestFit="1" customWidth="1"/>
    <col min="2" max="2" width="30.33203125" customWidth="1"/>
    <col min="3" max="5" width="12" customWidth="1"/>
    <col min="8" max="8" width="12" customWidth="1"/>
    <col min="9" max="11" width="18" customWidth="1"/>
  </cols>
  <sheetData>
    <row r="1" spans="1:11" x14ac:dyDescent="0.2">
      <c r="A1" s="6" t="s">
        <v>68</v>
      </c>
      <c r="B1" s="7"/>
      <c r="C1" s="7"/>
      <c r="D1" s="7"/>
      <c r="E1" s="7"/>
      <c r="H1" s="6" t="s">
        <v>69</v>
      </c>
      <c r="I1" s="7"/>
      <c r="J1" s="7"/>
      <c r="K1" s="7"/>
    </row>
    <row r="2" spans="1:11" x14ac:dyDescent="0.2">
      <c r="A2" s="7" t="s">
        <v>70</v>
      </c>
      <c r="B2" s="7"/>
      <c r="C2" s="7"/>
      <c r="D2" s="7"/>
      <c r="E2" s="7"/>
      <c r="H2" s="6" t="s">
        <v>71</v>
      </c>
      <c r="I2" s="7" t="s">
        <v>72</v>
      </c>
      <c r="J2" s="7" t="s">
        <v>73</v>
      </c>
      <c r="K2" s="7" t="s">
        <v>74</v>
      </c>
    </row>
    <row r="3" spans="1:11" x14ac:dyDescent="0.2">
      <c r="A3" s="6" t="s">
        <v>75</v>
      </c>
      <c r="B3" s="6" t="s">
        <v>71</v>
      </c>
      <c r="C3" s="6" t="s">
        <v>76</v>
      </c>
      <c r="D3" s="6" t="s">
        <v>77</v>
      </c>
      <c r="E3" s="6" t="s">
        <v>78</v>
      </c>
      <c r="H3" s="7"/>
      <c r="I3" s="7" t="s">
        <v>79</v>
      </c>
      <c r="J3" s="7" t="s">
        <v>80</v>
      </c>
      <c r="K3" s="7" t="s">
        <v>81</v>
      </c>
    </row>
    <row r="4" spans="1:11" x14ac:dyDescent="0.2">
      <c r="A4" s="7">
        <v>1</v>
      </c>
      <c r="B4" s="7">
        <v>390</v>
      </c>
      <c r="C4" s="7">
        <v>382</v>
      </c>
      <c r="D4" s="7">
        <v>382</v>
      </c>
      <c r="E4" s="7">
        <v>425</v>
      </c>
      <c r="H4" s="7"/>
      <c r="I4" s="7" t="s">
        <v>82</v>
      </c>
      <c r="J4" s="7" t="s">
        <v>83</v>
      </c>
      <c r="K4" s="7" t="s">
        <v>84</v>
      </c>
    </row>
    <row r="5" spans="1:11" x14ac:dyDescent="0.2">
      <c r="A5" s="7">
        <v>2</v>
      </c>
      <c r="B5" s="7">
        <v>654</v>
      </c>
      <c r="C5" s="7">
        <v>641</v>
      </c>
      <c r="D5" s="7">
        <v>641</v>
      </c>
      <c r="E5" s="7">
        <v>713</v>
      </c>
      <c r="H5" s="6" t="s">
        <v>76</v>
      </c>
      <c r="I5" s="7" t="s">
        <v>85</v>
      </c>
      <c r="J5" s="7" t="s">
        <v>86</v>
      </c>
      <c r="K5" s="7" t="s">
        <v>87</v>
      </c>
    </row>
    <row r="6" spans="1:11" x14ac:dyDescent="0.2">
      <c r="A6" s="7">
        <v>3</v>
      </c>
      <c r="B6" s="7">
        <v>788</v>
      </c>
      <c r="C6" s="7">
        <v>772</v>
      </c>
      <c r="D6" s="7">
        <v>772</v>
      </c>
      <c r="E6" s="7">
        <v>859</v>
      </c>
      <c r="H6" s="7"/>
      <c r="I6" s="7" t="s">
        <v>88</v>
      </c>
      <c r="J6" s="7" t="s">
        <v>89</v>
      </c>
      <c r="K6" s="7" t="s">
        <v>90</v>
      </c>
    </row>
    <row r="7" spans="1:11" x14ac:dyDescent="0.2">
      <c r="A7" s="7">
        <v>4</v>
      </c>
      <c r="B7" s="7">
        <v>888</v>
      </c>
      <c r="C7" s="7">
        <v>868</v>
      </c>
      <c r="D7" s="7">
        <v>868</v>
      </c>
      <c r="E7" s="7">
        <v>967</v>
      </c>
      <c r="H7" s="7"/>
      <c r="I7" s="7" t="s">
        <v>91</v>
      </c>
      <c r="J7" s="7" t="s">
        <v>92</v>
      </c>
      <c r="K7" s="7" t="s">
        <v>93</v>
      </c>
    </row>
    <row r="8" spans="1:11" x14ac:dyDescent="0.2">
      <c r="A8" s="7">
        <v>5</v>
      </c>
      <c r="B8" s="7">
        <v>921</v>
      </c>
      <c r="C8" s="7">
        <v>902</v>
      </c>
      <c r="D8" s="7">
        <v>902</v>
      </c>
      <c r="E8" s="7">
        <v>1004</v>
      </c>
      <c r="H8" s="7"/>
      <c r="I8" s="7" t="s">
        <v>94</v>
      </c>
      <c r="J8" s="7" t="s">
        <v>95</v>
      </c>
      <c r="K8" s="7" t="s">
        <v>96</v>
      </c>
    </row>
    <row r="9" spans="1:11" x14ac:dyDescent="0.2">
      <c r="A9" s="7" t="s">
        <v>97</v>
      </c>
      <c r="B9" s="7" t="s">
        <v>98</v>
      </c>
      <c r="C9" s="7"/>
      <c r="D9" s="7"/>
      <c r="E9" s="7"/>
      <c r="H9" s="6" t="s">
        <v>77</v>
      </c>
      <c r="I9" s="7" t="s">
        <v>99</v>
      </c>
      <c r="J9" s="7" t="s">
        <v>100</v>
      </c>
      <c r="K9" s="7" t="s">
        <v>101</v>
      </c>
    </row>
    <row r="10" spans="1:11" x14ac:dyDescent="0.2">
      <c r="A10" s="7"/>
      <c r="B10" s="7"/>
      <c r="C10" s="7"/>
      <c r="D10" s="7"/>
      <c r="E10" s="7"/>
      <c r="H10" s="7"/>
      <c r="I10" s="7" t="s">
        <v>102</v>
      </c>
      <c r="J10" s="7" t="s">
        <v>103</v>
      </c>
      <c r="K10" s="7" t="s">
        <v>104</v>
      </c>
    </row>
    <row r="11" spans="1:11" x14ac:dyDescent="0.2">
      <c r="A11" s="6" t="s">
        <v>68</v>
      </c>
      <c r="B11" s="7"/>
      <c r="C11" s="7"/>
      <c r="D11" s="7"/>
      <c r="E11" s="7"/>
      <c r="H11" s="7"/>
      <c r="I11" s="7" t="s">
        <v>105</v>
      </c>
      <c r="J11" s="7" t="s">
        <v>106</v>
      </c>
      <c r="K11" s="7" t="s">
        <v>107</v>
      </c>
    </row>
    <row r="12" spans="1:11" x14ac:dyDescent="0.2">
      <c r="A12" s="7" t="s">
        <v>108</v>
      </c>
      <c r="B12" s="7"/>
      <c r="C12" s="7"/>
      <c r="D12" s="7"/>
      <c r="E12" s="7"/>
      <c r="H12" s="7"/>
      <c r="I12" s="7" t="s">
        <v>109</v>
      </c>
      <c r="J12" s="7" t="s">
        <v>110</v>
      </c>
      <c r="K12" s="7" t="s">
        <v>111</v>
      </c>
    </row>
    <row r="13" spans="1:11" x14ac:dyDescent="0.2">
      <c r="A13" s="6" t="s">
        <v>75</v>
      </c>
      <c r="B13" s="6" t="s">
        <v>71</v>
      </c>
      <c r="C13" s="6" t="s">
        <v>76</v>
      </c>
      <c r="D13" s="6" t="s">
        <v>77</v>
      </c>
      <c r="E13" s="6" t="s">
        <v>78</v>
      </c>
      <c r="H13" s="7"/>
      <c r="I13" s="7" t="s">
        <v>112</v>
      </c>
      <c r="J13" s="7" t="s">
        <v>113</v>
      </c>
      <c r="K13" s="7" t="s">
        <v>114</v>
      </c>
    </row>
    <row r="14" spans="1:11" x14ac:dyDescent="0.2">
      <c r="A14" s="7">
        <v>1</v>
      </c>
      <c r="B14" s="7">
        <v>450</v>
      </c>
      <c r="C14" s="7">
        <v>441</v>
      </c>
      <c r="D14" s="7">
        <v>441</v>
      </c>
      <c r="E14" s="7">
        <v>491</v>
      </c>
      <c r="H14" s="7"/>
      <c r="I14" s="7" t="s">
        <v>115</v>
      </c>
      <c r="J14" s="7" t="s">
        <v>116</v>
      </c>
      <c r="K14" s="7" t="s">
        <v>117</v>
      </c>
    </row>
    <row r="15" spans="1:11" x14ac:dyDescent="0.2">
      <c r="A15" s="7">
        <v>2</v>
      </c>
      <c r="B15" s="7">
        <v>755</v>
      </c>
      <c r="C15" s="7">
        <v>738</v>
      </c>
      <c r="D15" s="7">
        <v>738</v>
      </c>
      <c r="E15" s="7">
        <v>823</v>
      </c>
      <c r="H15" s="6" t="s">
        <v>78</v>
      </c>
      <c r="I15" s="7" t="s">
        <v>118</v>
      </c>
      <c r="J15" s="7" t="s">
        <v>119</v>
      </c>
      <c r="K15" s="7" t="s">
        <v>120</v>
      </c>
    </row>
    <row r="16" spans="1:11" x14ac:dyDescent="0.2">
      <c r="A16" s="7">
        <v>3</v>
      </c>
      <c r="B16" s="7">
        <v>909</v>
      </c>
      <c r="C16" s="7">
        <v>889</v>
      </c>
      <c r="D16" s="7">
        <v>889</v>
      </c>
      <c r="E16" s="7">
        <v>990</v>
      </c>
      <c r="H16" s="7"/>
      <c r="I16" s="7" t="s">
        <v>121</v>
      </c>
      <c r="J16" s="7" t="s">
        <v>122</v>
      </c>
      <c r="K16" s="7" t="s">
        <v>123</v>
      </c>
    </row>
    <row r="17" spans="1:11" x14ac:dyDescent="0.2">
      <c r="A17" s="7">
        <v>4</v>
      </c>
      <c r="B17" s="7">
        <v>1025</v>
      </c>
      <c r="C17" s="7">
        <v>1003</v>
      </c>
      <c r="D17" s="7">
        <v>1003</v>
      </c>
      <c r="E17" s="7">
        <v>1117</v>
      </c>
      <c r="H17" s="7"/>
      <c r="I17" s="7" t="s">
        <v>124</v>
      </c>
      <c r="J17" s="7" t="s">
        <v>125</v>
      </c>
      <c r="K17" s="7" t="s">
        <v>126</v>
      </c>
    </row>
    <row r="18" spans="1:11" x14ac:dyDescent="0.2">
      <c r="A18" s="7">
        <v>5</v>
      </c>
      <c r="B18" s="7">
        <v>1062</v>
      </c>
      <c r="C18" s="7">
        <v>1039</v>
      </c>
      <c r="D18" s="7">
        <v>1039</v>
      </c>
      <c r="E18" s="7">
        <v>1158</v>
      </c>
      <c r="H18" s="7"/>
      <c r="I18" s="7" t="s">
        <v>127</v>
      </c>
      <c r="J18" s="7" t="s">
        <v>128</v>
      </c>
      <c r="K18" s="7" t="s">
        <v>129</v>
      </c>
    </row>
    <row r="19" spans="1:11" x14ac:dyDescent="0.2">
      <c r="A19" s="7" t="s">
        <v>97</v>
      </c>
      <c r="B19" s="7" t="s">
        <v>130</v>
      </c>
      <c r="C19" s="7"/>
      <c r="D19" s="7"/>
      <c r="E19" s="7"/>
      <c r="H19" s="7"/>
      <c r="I19" s="7"/>
      <c r="J19" s="7"/>
      <c r="K19" s="7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Pre-qual Worksheet</vt:lpstr>
      <vt:lpstr>P&amp;I Chart</vt:lpstr>
      <vt:lpstr>Residual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Zachary Zink</cp:lastModifiedBy>
  <cp:revision>0</cp:revision>
  <dcterms:created xsi:type="dcterms:W3CDTF">2026-01-28T15:34:57Z</dcterms:created>
  <dcterms:modified xsi:type="dcterms:W3CDTF">2026-01-28T15:43:39Z</dcterms:modified>
  <dc:language>en-US</dc:language>
</cp:coreProperties>
</file>